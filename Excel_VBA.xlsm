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UT Metz\Semestre 3\GSI\TP note\"/>
    </mc:Choice>
  </mc:AlternateContent>
  <bookViews>
    <workbookView xWindow="120" yWindow="36" windowWidth="23712" windowHeight="10056" tabRatio="659"/>
  </bookViews>
  <sheets>
    <sheet name="etudiant" sheetId="380" r:id="rId1"/>
    <sheet name="inscrits" sheetId="2" r:id="rId2"/>
    <sheet name="modules" sheetId="443" r:id="rId3"/>
    <sheet name="notes" sheetId="444" r:id="rId4"/>
    <sheet name="s38" sheetId="423" r:id="rId5"/>
    <sheet name="s39" sheetId="424" r:id="rId6"/>
    <sheet name="s40" sheetId="425" r:id="rId7"/>
    <sheet name="s41" sheetId="426" r:id="rId8"/>
    <sheet name="s42" sheetId="427" r:id="rId9"/>
    <sheet name="s44" sheetId="428" r:id="rId10"/>
    <sheet name="s45" sheetId="429" r:id="rId11"/>
    <sheet name="s46" sheetId="430" r:id="rId12"/>
    <sheet name="s49" sheetId="431" r:id="rId13"/>
    <sheet name="s50" sheetId="432" r:id="rId14"/>
    <sheet name="s1" sheetId="433" r:id="rId15"/>
    <sheet name="s2" sheetId="434" r:id="rId16"/>
    <sheet name="s5" sheetId="435" r:id="rId17"/>
    <sheet name="s6" sheetId="436" r:id="rId18"/>
    <sheet name="s11" sheetId="437" r:id="rId19"/>
    <sheet name="s12" sheetId="438" r:id="rId20"/>
    <sheet name="s13" sheetId="439" r:id="rId21"/>
    <sheet name="s18" sheetId="440" r:id="rId22"/>
    <sheet name="s19" sheetId="441" r:id="rId23"/>
    <sheet name="s20" sheetId="442" r:id="rId24"/>
  </sheets>
  <externalReferences>
    <externalReference r:id="rId25"/>
  </externalReferences>
  <definedNames>
    <definedName name="Etudiants">inscrits!$A$1:$A$20</definedName>
    <definedName name="idinscrit" localSheetId="3">[1]inscrits!$A$1:$A$19</definedName>
    <definedName name="idinscrit">OFFSET(inscrits!$A$1,0,0,COUNTA(inscrits!$A:$A)-1,1)</definedName>
    <definedName name="modules">modules!$A$1:$A$15</definedName>
    <definedName name="Semaines">etudiant!$G$2:$G$22</definedName>
  </definedNames>
  <calcPr calcId="171027"/>
</workbook>
</file>

<file path=xl/calcChain.xml><?xml version="1.0" encoding="utf-8"?>
<calcChain xmlns="http://schemas.openxmlformats.org/spreadsheetml/2006/main">
  <c r="R67" i="380" l="1"/>
  <c r="S66" i="380"/>
  <c r="Q66" i="380"/>
  <c r="S65" i="380"/>
  <c r="Q65" i="380"/>
  <c r="S64" i="380"/>
  <c r="Q64" i="380"/>
  <c r="S63" i="380"/>
  <c r="Q63" i="380"/>
  <c r="S62" i="380"/>
  <c r="Q62" i="380"/>
  <c r="S61" i="380"/>
  <c r="Q61" i="380"/>
  <c r="C74" i="380"/>
  <c r="D73" i="380"/>
  <c r="D72" i="380"/>
  <c r="D71" i="380"/>
  <c r="D70" i="380"/>
  <c r="D69" i="380"/>
  <c r="D68" i="380"/>
  <c r="B73" i="380" l="1"/>
  <c r="B72" i="380" l="1"/>
  <c r="B71" i="380"/>
  <c r="B70" i="380"/>
  <c r="B69" i="380"/>
  <c r="B68" i="380"/>
  <c r="D21" i="380" l="1"/>
  <c r="A22" i="380" l="1"/>
  <c r="J11" i="380"/>
  <c r="J4" i="380"/>
  <c r="K20" i="380"/>
  <c r="K15" i="380"/>
  <c r="K13" i="380"/>
  <c r="J7" i="380"/>
  <c r="K16" i="380"/>
  <c r="J5" i="380"/>
  <c r="J20" i="380"/>
  <c r="K8" i="380"/>
  <c r="J21" i="380"/>
  <c r="J2" i="380"/>
  <c r="J6" i="380"/>
  <c r="J16" i="380"/>
  <c r="K12" i="380"/>
  <c r="K21" i="380"/>
  <c r="J18" i="380"/>
  <c r="J12" i="380"/>
  <c r="J15" i="380"/>
  <c r="J19" i="380"/>
  <c r="K19" i="380"/>
  <c r="K3" i="380"/>
  <c r="K10" i="380"/>
  <c r="J8" i="380"/>
  <c r="K6" i="380"/>
  <c r="K18" i="380"/>
  <c r="J9" i="380"/>
  <c r="J10" i="380"/>
  <c r="K2" i="380"/>
  <c r="J3" i="380"/>
  <c r="K11" i="380"/>
  <c r="J14" i="380"/>
  <c r="K9" i="380"/>
  <c r="K17" i="380"/>
  <c r="K7" i="380"/>
  <c r="K5" i="380"/>
  <c r="J17" i="380"/>
  <c r="K14" i="380"/>
  <c r="K4" i="380"/>
  <c r="J13" i="380"/>
  <c r="K22" i="380" l="1"/>
  <c r="J22" i="380"/>
  <c r="P25" i="444"/>
  <c r="O25" i="444"/>
  <c r="N25" i="444"/>
  <c r="M25" i="444"/>
  <c r="L25" i="444"/>
  <c r="K25" i="444"/>
  <c r="J25" i="444"/>
  <c r="I25" i="444"/>
  <c r="H25" i="444"/>
  <c r="G25" i="444"/>
  <c r="F25" i="444"/>
  <c r="E25" i="444"/>
  <c r="D25" i="444"/>
  <c r="C25" i="444"/>
  <c r="B25" i="444"/>
  <c r="P24" i="444"/>
  <c r="O24" i="444"/>
  <c r="N24" i="444"/>
  <c r="M24" i="444"/>
  <c r="L24" i="444"/>
  <c r="K24" i="444"/>
  <c r="J24" i="444"/>
  <c r="I24" i="444"/>
  <c r="H24" i="444"/>
  <c r="G24" i="444"/>
  <c r="F24" i="444"/>
  <c r="E24" i="444"/>
  <c r="D24" i="444"/>
  <c r="C24" i="444"/>
  <c r="B24" i="444"/>
  <c r="P23" i="444"/>
  <c r="O23" i="444"/>
  <c r="N23" i="444"/>
  <c r="M23" i="444"/>
  <c r="L23" i="444"/>
  <c r="K23" i="444"/>
  <c r="J23" i="444"/>
  <c r="I23" i="444"/>
  <c r="H23" i="444"/>
  <c r="G23" i="444"/>
  <c r="F23" i="444"/>
  <c r="E23" i="444"/>
  <c r="D23" i="444"/>
  <c r="C23" i="444"/>
  <c r="B23" i="444"/>
  <c r="P3" i="444"/>
  <c r="O3" i="444"/>
  <c r="N3" i="444"/>
  <c r="M3" i="444"/>
  <c r="L3" i="444"/>
  <c r="K3" i="444"/>
  <c r="J3" i="444"/>
  <c r="I3" i="444"/>
  <c r="H3" i="444"/>
  <c r="G3" i="444"/>
  <c r="F3" i="444"/>
  <c r="E3" i="444"/>
  <c r="D3" i="444"/>
  <c r="C3" i="444"/>
  <c r="B3" i="444"/>
  <c r="P2" i="444"/>
  <c r="O2" i="444"/>
  <c r="N2" i="444"/>
  <c r="M2" i="444"/>
  <c r="L2" i="444"/>
  <c r="K2" i="444"/>
  <c r="J2" i="444"/>
  <c r="I2" i="444"/>
  <c r="H2" i="444"/>
  <c r="G2" i="444"/>
  <c r="F2" i="444"/>
  <c r="E2" i="444"/>
  <c r="D2" i="444"/>
  <c r="C2" i="444"/>
  <c r="B2" i="444"/>
  <c r="I6" i="380"/>
  <c r="H17" i="380"/>
  <c r="H13" i="380"/>
  <c r="I3" i="380"/>
  <c r="I20" i="380"/>
  <c r="I14" i="380"/>
  <c r="I16" i="380"/>
  <c r="I21" i="380"/>
  <c r="H20" i="380"/>
  <c r="I2" i="380"/>
  <c r="H11" i="380"/>
  <c r="H4" i="380"/>
  <c r="H15" i="380"/>
  <c r="I17" i="380"/>
  <c r="I11" i="380"/>
  <c r="H7" i="380"/>
  <c r="H3" i="380"/>
  <c r="I12" i="380"/>
  <c r="I9" i="380"/>
  <c r="H12" i="380"/>
  <c r="H2" i="380"/>
  <c r="H18" i="380"/>
  <c r="I8" i="380"/>
  <c r="H5" i="380"/>
  <c r="I7" i="380"/>
  <c r="H19" i="380"/>
  <c r="I10" i="380"/>
  <c r="I15" i="380"/>
  <c r="H6" i="380"/>
  <c r="H14" i="380"/>
  <c r="I4" i="380"/>
  <c r="H9" i="380"/>
  <c r="I13" i="380"/>
  <c r="I18" i="380"/>
  <c r="I5" i="380"/>
  <c r="H10" i="380"/>
  <c r="I19" i="380"/>
  <c r="H8" i="380"/>
  <c r="H21" i="380"/>
  <c r="H16" i="380"/>
  <c r="I22" i="380" l="1"/>
  <c r="H22" i="380"/>
  <c r="B14" i="443"/>
  <c r="B13" i="443"/>
  <c r="B9" i="443"/>
  <c r="B1" i="443"/>
  <c r="E22" i="380" l="1"/>
  <c r="E21" i="380"/>
  <c r="E23" i="380"/>
  <c r="E20" i="380"/>
  <c r="B20" i="380"/>
  <c r="B21" i="380" s="1"/>
</calcChain>
</file>

<file path=xl/comments1.xml><?xml version="1.0" encoding="utf-8"?>
<comments xmlns="http://schemas.openxmlformats.org/spreadsheetml/2006/main">
  <authors>
    <author>IUT de Metz</author>
    <author>Antony Fred Bacilio Salazar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IUT de Metz:</t>
        </r>
        <r>
          <rPr>
            <sz val="9"/>
            <color indexed="81"/>
            <rFont val="Tahoma"/>
            <family val="2"/>
          </rPr>
          <t xml:space="preserve">
Mettre lettre "P" d'abscence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IUT de Metz:</t>
        </r>
        <r>
          <rPr>
            <sz val="9"/>
            <color indexed="81"/>
            <rFont val="Tahoma"/>
            <family val="2"/>
          </rPr>
          <t xml:space="preserve">
Mettre lettre "J" d'abscence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IUT de Metz:</t>
        </r>
        <r>
          <rPr>
            <sz val="9"/>
            <color indexed="81"/>
            <rFont val="Tahoma"/>
            <family val="2"/>
          </rPr>
          <t xml:space="preserve">
Mettre lettre "E" d'abscence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IUT de Metz:</t>
        </r>
        <r>
          <rPr>
            <sz val="9"/>
            <color indexed="81"/>
            <rFont val="Tahoma"/>
            <family val="2"/>
          </rPr>
          <t xml:space="preserve">
Mettre lettre "A" d'abscence</t>
        </r>
      </text>
    </comment>
    <comment ref="A20" authorId="1" shapeId="0">
      <text>
        <r>
          <rPr>
            <b/>
            <sz val="9"/>
            <color indexed="81"/>
            <rFont val="Tahoma"/>
            <family val="2"/>
          </rPr>
          <t>Antony Fred Bacilio Salazar:</t>
        </r>
        <r>
          <rPr>
            <sz val="9"/>
            <color indexed="81"/>
            <rFont val="Tahoma"/>
            <family val="2"/>
          </rPr>
          <t xml:space="preserve">
Toujours 0%</t>
        </r>
      </text>
    </comment>
    <comment ref="D20" authorId="0" shapeId="0">
      <text>
        <r>
          <rPr>
            <b/>
            <sz val="9"/>
            <color indexed="81"/>
            <rFont val="Tahoma"/>
            <family val="2"/>
          </rPr>
          <t>IUT de Metz:</t>
        </r>
        <r>
          <rPr>
            <sz val="9"/>
            <color indexed="81"/>
            <rFont val="Tahoma"/>
            <family val="2"/>
          </rPr>
          <t xml:space="preserve">
Seuil fixé</t>
        </r>
      </text>
    </comment>
    <comment ref="E20" authorId="0" shapeId="0">
      <text>
        <r>
          <rPr>
            <b/>
            <sz val="9"/>
            <color indexed="81"/>
            <rFont val="Tahoma"/>
            <family val="2"/>
          </rPr>
          <t>IUT de Metz:</t>
        </r>
        <r>
          <rPr>
            <sz val="9"/>
            <color indexed="81"/>
            <rFont val="Tahoma"/>
            <family val="2"/>
          </rPr>
          <t xml:space="preserve">
% Injustifiée</t>
        </r>
      </text>
    </comment>
    <comment ref="A21" authorId="1" shapeId="0">
      <text>
        <r>
          <rPr>
            <b/>
            <sz val="9"/>
            <color indexed="81"/>
            <rFont val="Tahoma"/>
            <family val="2"/>
          </rPr>
          <t>Antony Fred Bacilio Salazar:</t>
        </r>
        <r>
          <rPr>
            <sz val="9"/>
            <color indexed="81"/>
            <rFont val="Tahoma"/>
            <family val="2"/>
          </rPr>
          <t xml:space="preserve">
Toujours 4%</t>
        </r>
      </text>
    </comment>
    <comment ref="D21" authorId="0" shapeId="0">
      <text>
        <r>
          <rPr>
            <b/>
            <sz val="9"/>
            <color indexed="81"/>
            <rFont val="Tahoma"/>
            <family val="2"/>
          </rPr>
          <t>IUT de Metz:</t>
        </r>
        <r>
          <rPr>
            <sz val="9"/>
            <color indexed="81"/>
            <rFont val="Tahoma"/>
            <family val="2"/>
          </rPr>
          <t xml:space="preserve">
Complément à 100%</t>
        </r>
      </text>
    </comment>
    <comment ref="E21" authorId="0" shapeId="0">
      <text>
        <r>
          <rPr>
            <b/>
            <sz val="9"/>
            <color indexed="81"/>
            <rFont val="Tahoma"/>
            <family val="2"/>
          </rPr>
          <t>IUT de Metz:</t>
        </r>
        <r>
          <rPr>
            <sz val="9"/>
            <color indexed="81"/>
            <rFont val="Tahoma"/>
            <family val="2"/>
          </rPr>
          <t xml:space="preserve">
% Excusée</t>
        </r>
      </text>
    </comment>
    <comment ref="B22" authorId="1" shapeId="0">
      <text>
        <r>
          <rPr>
            <b/>
            <sz val="9"/>
            <color indexed="81"/>
            <rFont val="Tahoma"/>
            <family val="2"/>
          </rPr>
          <t>Antony Fred Bacilio Salazar:</t>
        </r>
        <r>
          <rPr>
            <sz val="9"/>
            <color indexed="81"/>
            <rFont val="Tahoma"/>
            <family val="2"/>
          </rPr>
          <t xml:space="preserve">
Toujours 100%</t>
        </r>
      </text>
    </comment>
    <comment ref="E22" authorId="0" shapeId="0">
      <text>
        <r>
          <rPr>
            <b/>
            <sz val="9"/>
            <color indexed="81"/>
            <rFont val="Tahoma"/>
            <family val="2"/>
          </rPr>
          <t>IUT de Metz:</t>
        </r>
        <r>
          <rPr>
            <sz val="9"/>
            <color indexed="81"/>
            <rFont val="Tahoma"/>
            <family val="2"/>
          </rPr>
          <t xml:space="preserve">
% Justifiée</t>
        </r>
      </text>
    </comment>
    <comment ref="A23" authorId="1" shapeId="0">
      <text>
        <r>
          <rPr>
            <b/>
            <sz val="9"/>
            <color indexed="81"/>
            <rFont val="Tahoma"/>
            <family val="2"/>
          </rPr>
          <t>Antony Fred Bacilio Salazar:</t>
        </r>
        <r>
          <rPr>
            <sz val="9"/>
            <color indexed="81"/>
            <rFont val="Tahoma"/>
            <family val="2"/>
          </rPr>
          <t xml:space="preserve">
Toujours 100%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IUT de Metz:</t>
        </r>
        <r>
          <rPr>
            <sz val="9"/>
            <color indexed="81"/>
            <rFont val="Tahoma"/>
            <family val="2"/>
          </rPr>
          <t xml:space="preserve">
% Présence</t>
        </r>
      </text>
    </comment>
  </commentList>
</comments>
</file>

<file path=xl/sharedStrings.xml><?xml version="1.0" encoding="utf-8"?>
<sst xmlns="http://schemas.openxmlformats.org/spreadsheetml/2006/main" count="2136" uniqueCount="70">
  <si>
    <t>DEVTSPE</t>
  </si>
  <si>
    <t>MATHINFO</t>
  </si>
  <si>
    <t>SI</t>
  </si>
  <si>
    <t>SYSTEME</t>
  </si>
  <si>
    <t>PRJIND</t>
  </si>
  <si>
    <t>EXPRCOM</t>
  </si>
  <si>
    <t>A</t>
  </si>
  <si>
    <t>E</t>
  </si>
  <si>
    <t>ANGLAIS</t>
  </si>
  <si>
    <t>J</t>
  </si>
  <si>
    <t>BD</t>
  </si>
  <si>
    <t>PPO</t>
  </si>
  <si>
    <t>GL</t>
  </si>
  <si>
    <t>SAR</t>
  </si>
  <si>
    <t>DROIT</t>
  </si>
  <si>
    <t>CONDPRJ</t>
  </si>
  <si>
    <t>/</t>
  </si>
  <si>
    <t>Samedi</t>
  </si>
  <si>
    <t>Mercredi</t>
  </si>
  <si>
    <t>Jeudi</t>
  </si>
  <si>
    <t>Vendredi</t>
  </si>
  <si>
    <t>Lundi</t>
  </si>
  <si>
    <t>Mardi</t>
  </si>
  <si>
    <t>BARRETO</t>
  </si>
  <si>
    <t>CAMILLE</t>
  </si>
  <si>
    <t>DAQUOIS</t>
  </si>
  <si>
    <t>LAJAUNI</t>
  </si>
  <si>
    <t>ESSAHI</t>
  </si>
  <si>
    <t>HANSI</t>
  </si>
  <si>
    <t>HOUNOIS</t>
  </si>
  <si>
    <t>JAQUOT</t>
  </si>
  <si>
    <t>KONIGAM</t>
  </si>
  <si>
    <t>LEFRAND</t>
  </si>
  <si>
    <t>LEKOWSKI</t>
  </si>
  <si>
    <t>ARTHUR</t>
  </si>
  <si>
    <t>MALPOISSI</t>
  </si>
  <si>
    <t>MORRIERA</t>
  </si>
  <si>
    <t>PORETEAU</t>
  </si>
  <si>
    <t>PRAIVIL</t>
  </si>
  <si>
    <t>SAUCET</t>
  </si>
  <si>
    <t>THIRIEZ</t>
  </si>
  <si>
    <t>ZIGALIMARTY</t>
  </si>
  <si>
    <t>Justifiée</t>
  </si>
  <si>
    <t>Excusée</t>
  </si>
  <si>
    <t>Présence</t>
  </si>
  <si>
    <t>Injustifiée</t>
  </si>
  <si>
    <t>ALGO/Java</t>
  </si>
  <si>
    <t>MÉMOIRE</t>
  </si>
  <si>
    <t>Moyenne</t>
  </si>
  <si>
    <t>min</t>
  </si>
  <si>
    <t>max</t>
  </si>
  <si>
    <t>moyenne</t>
  </si>
  <si>
    <t>Etudiant</t>
  </si>
  <si>
    <t>Semaine</t>
  </si>
  <si>
    <t>Tachymètre: Total des absences</t>
  </si>
  <si>
    <t>Seuil</t>
  </si>
  <si>
    <t>Vumètre: Detail par type d'absence</t>
  </si>
  <si>
    <t>Coef</t>
  </si>
  <si>
    <t>Promo</t>
  </si>
  <si>
    <t>Min</t>
  </si>
  <si>
    <t>Max</t>
  </si>
  <si>
    <t>Module</t>
  </si>
  <si>
    <t xml:space="preserve"> </t>
  </si>
  <si>
    <t>0 à 7</t>
  </si>
  <si>
    <t>8 à 9</t>
  </si>
  <si>
    <t>Passable</t>
  </si>
  <si>
    <t>Assez bien</t>
  </si>
  <si>
    <t>Bien</t>
  </si>
  <si>
    <t>Très bien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</si>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</sst>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\(#0.00\)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7.7"/>
      <color theme="1"/>
      <name val="Calibri"/>
      <family val="2"/>
      <scheme val="minor"/>
    </font>
    <font>
      <sz val="9.9"/>
      <color theme="1"/>
      <name val="Calibri"/>
      <family val="2"/>
      <scheme val="minor"/>
    </font>
    <font>
      <sz val="8"/>
      <color rgb="FF00000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CCCCCC"/>
      </right>
      <top style="medium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indexed="64"/>
      </top>
      <bottom/>
      <diagonal/>
    </border>
    <border>
      <left style="medium">
        <color rgb="FFCCCCCC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rgb="FFCCCCCC"/>
      </right>
      <top/>
      <bottom style="medium">
        <color indexed="64"/>
      </bottom>
      <diagonal/>
    </border>
    <border>
      <left style="medium">
        <color indexed="64"/>
      </left>
      <right style="medium">
        <color rgb="FFCCCCCC"/>
      </right>
      <top style="medium">
        <color indexed="64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indexed="64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indexed="64"/>
      </top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CCCCCC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 applyFill="1" applyBorder="1" applyAlignment="1">
      <alignment horizontal="center" vertical="top" wrapText="1"/>
    </xf>
    <xf numFmtId="2" fontId="0" fillId="0" borderId="0" xfId="0" applyNumberFormat="1"/>
    <xf numFmtId="0" fontId="18" fillId="33" borderId="0" xfId="0" applyFont="1" applyFill="1"/>
    <xf numFmtId="9" fontId="0" fillId="0" borderId="0" xfId="42" applyFont="1"/>
    <xf numFmtId="9" fontId="0" fillId="0" borderId="0" xfId="0" applyNumberFormat="1"/>
    <xf numFmtId="0" fontId="0" fillId="0" borderId="0" xfId="0" applyFont="1" applyBorder="1" applyAlignment="1">
      <alignment horizontal="center" vertical="top" wrapText="1"/>
    </xf>
    <xf numFmtId="0" fontId="0" fillId="0" borderId="0" xfId="0" applyFont="1"/>
    <xf numFmtId="2" fontId="19" fillId="0" borderId="0" xfId="0" applyNumberFormat="1" applyFont="1" applyBorder="1" applyAlignment="1">
      <alignment horizontal="center" vertical="top" wrapText="1"/>
    </xf>
    <xf numFmtId="0" fontId="0" fillId="0" borderId="0" xfId="0" applyAlignment="1">
      <alignment horizontal="left"/>
    </xf>
    <xf numFmtId="0" fontId="0" fillId="0" borderId="10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0" xfId="0" applyBorder="1"/>
    <xf numFmtId="0" fontId="0" fillId="0" borderId="0" xfId="0" applyFont="1" applyBorder="1" applyAlignment="1"/>
    <xf numFmtId="0" fontId="21" fillId="0" borderId="15" xfId="0" applyFont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8" xfId="0" applyFont="1" applyBorder="1" applyAlignment="1">
      <alignment horizontal="center" vertical="center" wrapText="1"/>
    </xf>
    <xf numFmtId="164" fontId="22" fillId="0" borderId="19" xfId="0" applyNumberFormat="1" applyFont="1" applyBorder="1" applyAlignment="1">
      <alignment horizontal="center" vertical="center" wrapText="1"/>
    </xf>
    <xf numFmtId="164" fontId="22" fillId="0" borderId="20" xfId="0" applyNumberFormat="1" applyFont="1" applyBorder="1" applyAlignment="1">
      <alignment horizontal="center" vertical="center" wrapText="1"/>
    </xf>
    <xf numFmtId="164" fontId="22" fillId="0" borderId="21" xfId="0" applyNumberFormat="1" applyFont="1" applyBorder="1" applyAlignment="1">
      <alignment horizontal="center" vertical="center" wrapText="1"/>
    </xf>
    <xf numFmtId="164" fontId="22" fillId="0" borderId="22" xfId="0" applyNumberFormat="1" applyFont="1" applyBorder="1" applyAlignment="1">
      <alignment horizontal="center" vertical="center" wrapText="1"/>
    </xf>
    <xf numFmtId="164" fontId="22" fillId="0" borderId="23" xfId="0" applyNumberFormat="1" applyFont="1" applyBorder="1" applyAlignment="1">
      <alignment horizontal="center" vertical="center" wrapText="1"/>
    </xf>
    <xf numFmtId="2" fontId="22" fillId="0" borderId="24" xfId="0" applyNumberFormat="1" applyFont="1" applyBorder="1" applyAlignment="1">
      <alignment vertical="center" wrapText="1"/>
    </xf>
    <xf numFmtId="2" fontId="22" fillId="0" borderId="25" xfId="0" applyNumberFormat="1" applyFont="1" applyBorder="1" applyAlignment="1">
      <alignment vertical="center" wrapText="1"/>
    </xf>
    <xf numFmtId="2" fontId="22" fillId="0" borderId="26" xfId="0" applyNumberFormat="1" applyFont="1" applyBorder="1" applyAlignment="1">
      <alignment vertical="center" wrapText="1"/>
    </xf>
    <xf numFmtId="0" fontId="22" fillId="34" borderId="25" xfId="0" applyFont="1" applyFill="1" applyBorder="1" applyAlignment="1">
      <alignment vertical="center" wrapText="1"/>
    </xf>
    <xf numFmtId="2" fontId="22" fillId="0" borderId="27" xfId="0" applyNumberFormat="1" applyFont="1" applyBorder="1" applyAlignment="1">
      <alignment vertical="center" wrapText="1"/>
    </xf>
    <xf numFmtId="2" fontId="22" fillId="0" borderId="28" xfId="0" applyNumberFormat="1" applyFont="1" applyBorder="1" applyAlignment="1">
      <alignment vertical="center" wrapText="1"/>
    </xf>
    <xf numFmtId="2" fontId="22" fillId="0" borderId="29" xfId="0" applyNumberFormat="1" applyFont="1" applyBorder="1" applyAlignment="1">
      <alignment vertical="center" wrapText="1"/>
    </xf>
    <xf numFmtId="2" fontId="22" fillId="0" borderId="30" xfId="0" applyNumberFormat="1" applyFont="1" applyBorder="1" applyAlignment="1">
      <alignment vertical="center" wrapText="1"/>
    </xf>
    <xf numFmtId="0" fontId="22" fillId="34" borderId="29" xfId="0" applyFont="1" applyFill="1" applyBorder="1" applyAlignment="1">
      <alignment vertical="center" wrapText="1"/>
    </xf>
    <xf numFmtId="2" fontId="22" fillId="0" borderId="31" xfId="0" applyNumberFormat="1" applyFont="1" applyBorder="1" applyAlignment="1">
      <alignment vertical="center" wrapText="1"/>
    </xf>
    <xf numFmtId="0" fontId="22" fillId="34" borderId="28" xfId="0" applyFont="1" applyFill="1" applyBorder="1" applyAlignment="1">
      <alignment vertical="center" wrapText="1"/>
    </xf>
    <xf numFmtId="0" fontId="22" fillId="34" borderId="30" xfId="0" applyFont="1" applyFill="1" applyBorder="1" applyAlignment="1">
      <alignment vertical="center" wrapText="1"/>
    </xf>
    <xf numFmtId="2" fontId="22" fillId="0" borderId="32" xfId="0" applyNumberFormat="1" applyFont="1" applyBorder="1" applyAlignment="1">
      <alignment vertical="center" wrapText="1"/>
    </xf>
    <xf numFmtId="2" fontId="22" fillId="0" borderId="33" xfId="0" applyNumberFormat="1" applyFont="1" applyBorder="1" applyAlignment="1">
      <alignment vertical="center" wrapText="1"/>
    </xf>
    <xf numFmtId="2" fontId="22" fillId="0" borderId="34" xfId="0" applyNumberFormat="1" applyFont="1" applyBorder="1" applyAlignment="1">
      <alignment vertical="center" wrapText="1"/>
    </xf>
    <xf numFmtId="0" fontId="22" fillId="34" borderId="33" xfId="0" applyFont="1" applyFill="1" applyBorder="1" applyAlignment="1">
      <alignment vertical="center" wrapText="1"/>
    </xf>
    <xf numFmtId="0" fontId="22" fillId="34" borderId="34" xfId="0" applyFont="1" applyFill="1" applyBorder="1" applyAlignment="1">
      <alignment vertical="center" wrapText="1"/>
    </xf>
    <xf numFmtId="2" fontId="22" fillId="0" borderId="35" xfId="0" applyNumberFormat="1" applyFont="1" applyBorder="1" applyAlignment="1">
      <alignment vertical="center" wrapText="1"/>
    </xf>
    <xf numFmtId="0" fontId="20" fillId="0" borderId="0" xfId="0" applyFont="1" applyAlignment="1">
      <alignment horizontal="right"/>
    </xf>
    <xf numFmtId="2" fontId="22" fillId="0" borderId="0" xfId="0" applyNumberFormat="1" applyFont="1" applyBorder="1" applyAlignment="1">
      <alignment vertical="center" wrapText="1"/>
    </xf>
    <xf numFmtId="0" fontId="0" fillId="0" borderId="36" xfId="0" applyFont="1" applyBorder="1" applyAlignment="1">
      <alignment horizontal="center" vertical="top" wrapText="1"/>
    </xf>
    <xf numFmtId="0" fontId="0" fillId="0" borderId="36" xfId="0" applyFont="1" applyFill="1" applyBorder="1" applyAlignment="1">
      <alignment horizontal="center" vertical="top" wrapText="1"/>
    </xf>
    <xf numFmtId="9" fontId="0" fillId="0" borderId="0" xfId="42" applyNumberFormat="1" applyFont="1"/>
    <xf numFmtId="0" fontId="0" fillId="0" borderId="36" xfId="0" applyBorder="1" applyAlignment="1">
      <alignment horizontal="center" vertical="center"/>
    </xf>
    <xf numFmtId="2" fontId="19" fillId="0" borderId="36" xfId="0" applyNumberFormat="1" applyFont="1" applyBorder="1" applyAlignment="1">
      <alignment horizontal="center"/>
    </xf>
    <xf numFmtId="0" fontId="16" fillId="0" borderId="0" xfId="0" applyFont="1"/>
    <xf numFmtId="2" fontId="0" fillId="0" borderId="0" xfId="0" applyNumberFormat="1" applyFont="1"/>
    <xf numFmtId="0" fontId="27" fillId="0" borderId="0" xfId="0" applyFont="1"/>
    <xf numFmtId="0" fontId="0" fillId="0" borderId="36" xfId="0" applyFont="1" applyBorder="1"/>
    <xf numFmtId="0" fontId="16" fillId="0" borderId="39" xfId="0" applyFont="1" applyBorder="1" applyAlignment="1">
      <alignment horizontal="center"/>
    </xf>
    <xf numFmtId="0" fontId="20" fillId="0" borderId="37" xfId="0" applyFont="1" applyBorder="1" applyAlignment="1">
      <alignment horizontal="center"/>
    </xf>
    <xf numFmtId="9" fontId="0" fillId="0" borderId="36" xfId="42" applyFont="1" applyBorder="1"/>
    <xf numFmtId="16" fontId="0" fillId="0" borderId="36" xfId="0" applyNumberFormat="1" applyFont="1" applyBorder="1"/>
    <xf numFmtId="9" fontId="0" fillId="0" borderId="36" xfId="0" applyNumberFormat="1" applyFont="1" applyBorder="1"/>
    <xf numFmtId="2" fontId="0" fillId="0" borderId="0" xfId="0" applyNumberFormat="1" applyBorder="1"/>
    <xf numFmtId="2" fontId="0" fillId="0" borderId="0" xfId="0" applyNumberFormat="1" applyFont="1" applyBorder="1"/>
    <xf numFmtId="0" fontId="0" fillId="0" borderId="41" xfId="0" applyFont="1" applyFill="1" applyBorder="1"/>
    <xf numFmtId="1" fontId="0" fillId="0" borderId="40" xfId="0" applyNumberFormat="1" applyFill="1" applyBorder="1"/>
    <xf numFmtId="0" fontId="0" fillId="0" borderId="13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26" fillId="0" borderId="36" xfId="0" applyFont="1" applyBorder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Porcentaje" xfId="42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FFF00"/>
      <color rgb="FFEDCC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3"/>
          <c:order val="0"/>
          <c:tx>
            <c:strRef>
              <c:f>etudiant!$K$1</c:f>
              <c:strCache>
                <c:ptCount val="1"/>
                <c:pt idx="0">
                  <c:v>Injustifiée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etudiant!$G$2:$G$16</c:f>
              <c:numCache>
                <c:formatCode>General</c:formatCode>
                <c:ptCount val="15"/>
                <c:pt idx="0">
                  <c:v>38</c:v>
                </c:pt>
                <c:pt idx="1">
                  <c:v>39</c:v>
                </c:pt>
                <c:pt idx="2">
                  <c:v>40</c:v>
                </c:pt>
                <c:pt idx="3">
                  <c:v>41</c:v>
                </c:pt>
                <c:pt idx="4">
                  <c:v>42</c:v>
                </c:pt>
                <c:pt idx="5">
                  <c:v>44</c:v>
                </c:pt>
                <c:pt idx="6">
                  <c:v>45</c:v>
                </c:pt>
                <c:pt idx="7">
                  <c:v>46</c:v>
                </c:pt>
                <c:pt idx="8">
                  <c:v>49</c:v>
                </c:pt>
                <c:pt idx="9">
                  <c:v>50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  <c:pt idx="13">
                  <c:v>6</c:v>
                </c:pt>
                <c:pt idx="14">
                  <c:v>11</c:v>
                </c:pt>
              </c:numCache>
            </c:numRef>
          </c:cat>
          <c:val>
            <c:numRef>
              <c:f>etudiant!$K$2:$K$16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0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B9-4F5C-855F-9AD11C299B19}"/>
            </c:ext>
          </c:extLst>
        </c:ser>
        <c:ser>
          <c:idx val="2"/>
          <c:order val="1"/>
          <c:tx>
            <c:strRef>
              <c:f>etudiant!$J$1</c:f>
              <c:strCache>
                <c:ptCount val="1"/>
                <c:pt idx="0">
                  <c:v>Excusée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numRef>
              <c:f>etudiant!$G$2:$G$21</c:f>
              <c:numCache>
                <c:formatCode>General</c:formatCode>
                <c:ptCount val="20"/>
                <c:pt idx="0">
                  <c:v>38</c:v>
                </c:pt>
                <c:pt idx="1">
                  <c:v>39</c:v>
                </c:pt>
                <c:pt idx="2">
                  <c:v>40</c:v>
                </c:pt>
                <c:pt idx="3">
                  <c:v>41</c:v>
                </c:pt>
                <c:pt idx="4">
                  <c:v>42</c:v>
                </c:pt>
                <c:pt idx="5">
                  <c:v>44</c:v>
                </c:pt>
                <c:pt idx="6">
                  <c:v>45</c:v>
                </c:pt>
                <c:pt idx="7">
                  <c:v>46</c:v>
                </c:pt>
                <c:pt idx="8">
                  <c:v>49</c:v>
                </c:pt>
                <c:pt idx="9">
                  <c:v>50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  <c:pt idx="13">
                  <c:v>6</c:v>
                </c:pt>
                <c:pt idx="14">
                  <c:v>11</c:v>
                </c:pt>
                <c:pt idx="15">
                  <c:v>12</c:v>
                </c:pt>
                <c:pt idx="16">
                  <c:v>13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etudiant!$J$2:$J$16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B9-4F5C-855F-9AD11C299B19}"/>
            </c:ext>
          </c:extLst>
        </c:ser>
        <c:ser>
          <c:idx val="1"/>
          <c:order val="2"/>
          <c:tx>
            <c:strRef>
              <c:f>etudiant!$I$1</c:f>
              <c:strCache>
                <c:ptCount val="1"/>
                <c:pt idx="0">
                  <c:v>Justifiée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etudiant!$G$2:$G$21</c:f>
              <c:numCache>
                <c:formatCode>General</c:formatCode>
                <c:ptCount val="20"/>
                <c:pt idx="0">
                  <c:v>38</c:v>
                </c:pt>
                <c:pt idx="1">
                  <c:v>39</c:v>
                </c:pt>
                <c:pt idx="2">
                  <c:v>40</c:v>
                </c:pt>
                <c:pt idx="3">
                  <c:v>41</c:v>
                </c:pt>
                <c:pt idx="4">
                  <c:v>42</c:v>
                </c:pt>
                <c:pt idx="5">
                  <c:v>44</c:v>
                </c:pt>
                <c:pt idx="6">
                  <c:v>45</c:v>
                </c:pt>
                <c:pt idx="7">
                  <c:v>46</c:v>
                </c:pt>
                <c:pt idx="8">
                  <c:v>49</c:v>
                </c:pt>
                <c:pt idx="9">
                  <c:v>50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  <c:pt idx="13">
                  <c:v>6</c:v>
                </c:pt>
                <c:pt idx="14">
                  <c:v>11</c:v>
                </c:pt>
                <c:pt idx="15">
                  <c:v>12</c:v>
                </c:pt>
                <c:pt idx="16">
                  <c:v>13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etudiant!$I$2:$I$16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B9-4F5C-855F-9AD11C299B19}"/>
            </c:ext>
          </c:extLst>
        </c:ser>
        <c:ser>
          <c:idx val="0"/>
          <c:order val="3"/>
          <c:tx>
            <c:strRef>
              <c:f>etudiant!$H$1</c:f>
              <c:strCache>
                <c:ptCount val="1"/>
                <c:pt idx="0">
                  <c:v>Présence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cat>
            <c:numRef>
              <c:f>etudiant!$G$2:$G$21</c:f>
              <c:numCache>
                <c:formatCode>General</c:formatCode>
                <c:ptCount val="20"/>
                <c:pt idx="0">
                  <c:v>38</c:v>
                </c:pt>
                <c:pt idx="1">
                  <c:v>39</c:v>
                </c:pt>
                <c:pt idx="2">
                  <c:v>40</c:v>
                </c:pt>
                <c:pt idx="3">
                  <c:v>41</c:v>
                </c:pt>
                <c:pt idx="4">
                  <c:v>42</c:v>
                </c:pt>
                <c:pt idx="5">
                  <c:v>44</c:v>
                </c:pt>
                <c:pt idx="6">
                  <c:v>45</c:v>
                </c:pt>
                <c:pt idx="7">
                  <c:v>46</c:v>
                </c:pt>
                <c:pt idx="8">
                  <c:v>49</c:v>
                </c:pt>
                <c:pt idx="9">
                  <c:v>50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  <c:pt idx="13">
                  <c:v>6</c:v>
                </c:pt>
                <c:pt idx="14">
                  <c:v>11</c:v>
                </c:pt>
                <c:pt idx="15">
                  <c:v>12</c:v>
                </c:pt>
                <c:pt idx="16">
                  <c:v>13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etudiant!$H$2:$H$16</c:f>
              <c:numCache>
                <c:formatCode>0.00</c:formatCode>
                <c:ptCount val="15"/>
                <c:pt idx="0">
                  <c:v>16</c:v>
                </c:pt>
                <c:pt idx="1">
                  <c:v>23.5</c:v>
                </c:pt>
                <c:pt idx="2">
                  <c:v>22</c:v>
                </c:pt>
                <c:pt idx="3">
                  <c:v>24</c:v>
                </c:pt>
                <c:pt idx="4">
                  <c:v>20</c:v>
                </c:pt>
                <c:pt idx="5">
                  <c:v>12</c:v>
                </c:pt>
                <c:pt idx="6">
                  <c:v>26</c:v>
                </c:pt>
                <c:pt idx="7">
                  <c:v>33</c:v>
                </c:pt>
                <c:pt idx="8">
                  <c:v>36</c:v>
                </c:pt>
                <c:pt idx="9">
                  <c:v>25</c:v>
                </c:pt>
                <c:pt idx="10">
                  <c:v>29.5</c:v>
                </c:pt>
                <c:pt idx="11">
                  <c:v>35.5</c:v>
                </c:pt>
                <c:pt idx="12">
                  <c:v>33</c:v>
                </c:pt>
                <c:pt idx="13">
                  <c:v>33</c:v>
                </c:pt>
                <c:pt idx="14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B9-4F5C-855F-9AD11C299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2197152"/>
        <c:axId val="502202072"/>
      </c:barChart>
      <c:catAx>
        <c:axId val="502197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02202072"/>
        <c:crosses val="autoZero"/>
        <c:auto val="1"/>
        <c:lblAlgn val="ctr"/>
        <c:lblOffset val="100"/>
        <c:noMultiLvlLbl val="0"/>
      </c:catAx>
      <c:valAx>
        <c:axId val="502202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02197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939493070612559E-2"/>
          <c:y val="1.3689137072151695E-2"/>
          <c:w val="0.93414229018474138"/>
          <c:h val="0.98631086292784831"/>
        </c:manualLayout>
      </c:layout>
      <c:doughnutChart>
        <c:varyColors val="1"/>
        <c:ser>
          <c:idx val="1"/>
          <c:order val="0"/>
          <c:tx>
            <c:v>Series2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4CA-4C1D-B78C-ABBC38271152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96CF-4CEA-92D4-7945C9D0DDF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6CF-4CEA-92D4-7945C9D0DDF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4CA-4C1D-B78C-ABBC38271152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6CF-4CEA-92D4-7945C9D0DDF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96CF-4CEA-92D4-7945C9D0DD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etudiant!$B$20:$B$23</c:f>
              <c:numCache>
                <c:formatCode>0%</c:formatCode>
                <c:ptCount val="4"/>
                <c:pt idx="0">
                  <c:v>5.4844606946983544E-2</c:v>
                </c:pt>
                <c:pt idx="1">
                  <c:v>0.94515539305301643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CF-4CEA-92D4-7945C9D0DDF4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4CA-4C1D-B78C-ABBC3827115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6CF-4CEA-92D4-7945C9D0DDF4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96CF-4CEA-92D4-7945C9D0DDF4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6CF-4CEA-92D4-7945C9D0DDF4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96CF-4CEA-92D4-7945C9D0DD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etudiant!$A$20:$A$23</c:f>
              <c:numCache>
                <c:formatCode>0%</c:formatCode>
                <c:ptCount val="4"/>
                <c:pt idx="0">
                  <c:v>0</c:v>
                </c:pt>
                <c:pt idx="1">
                  <c:v>0.04</c:v>
                </c:pt>
                <c:pt idx="2">
                  <c:v>0.96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F-4CEA-92D4-7945C9D0D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32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DB9-486A-88EF-3D99408485FD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DB9-486A-88EF-3D99408485FD}"/>
              </c:ext>
            </c:extLst>
          </c:dPt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B9-486A-88EF-3D99408485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etudiant!$D$20:$E$20</c:f>
              <c:numCache>
                <c:formatCode>0%</c:formatCode>
                <c:ptCount val="2"/>
                <c:pt idx="0">
                  <c:v>0.04</c:v>
                </c:pt>
                <c:pt idx="1">
                  <c:v>1.4625228519195612E-2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B9-486A-88EF-3D99408485FD}"/>
            </c:ext>
          </c:extLst>
        </c:ser>
        <c:ser>
          <c:idx val="1"/>
          <c:order val="1"/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7DB9-486A-88EF-3D99408485FD}"/>
              </c:ext>
            </c:extLst>
          </c:dPt>
          <c:dLbls>
            <c:delete val="1"/>
          </c:dLbls>
          <c:val>
            <c:numRef>
              <c:f>etudiant!$D$21:$E$21</c:f>
              <c:numCache>
                <c:formatCode>0%</c:formatCode>
                <c:ptCount val="2"/>
                <c:pt idx="0">
                  <c:v>0.96</c:v>
                </c:pt>
                <c:pt idx="1">
                  <c:v>4.0219378427787937E-2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B9-486A-88EF-3D99408485FD}"/>
            </c:ext>
          </c:extLst>
        </c:ser>
        <c:ser>
          <c:idx val="2"/>
          <c:order val="2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etudiant!$D$22:$E$22</c:f>
              <c:numCache>
                <c:formatCode>0%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B9-486A-88EF-3D99408485FD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B9-486A-88EF-3D99408485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etudiant!$D$23:$E$23</c:f>
              <c:numCache>
                <c:formatCode>0%</c:formatCode>
                <c:ptCount val="2"/>
                <c:pt idx="1">
                  <c:v>0.94515539305301643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DB9-486A-88EF-3D99408485F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"/>
        <c:overlap val="100"/>
        <c:axId val="619200272"/>
        <c:axId val="609292488"/>
      </c:barChart>
      <c:valAx>
        <c:axId val="60929248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9200272"/>
        <c:crosses val="autoZero"/>
        <c:crossBetween val="between"/>
      </c:valAx>
      <c:catAx>
        <c:axId val="619200272"/>
        <c:scaling>
          <c:orientation val="minMax"/>
        </c:scaling>
        <c:delete val="1"/>
        <c:axPos val="l"/>
        <c:majorTickMark val="none"/>
        <c:minorTickMark val="none"/>
        <c:tickLblPos val="nextTo"/>
        <c:crossAx val="609292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567722790410905"/>
          <c:y val="6.3968937332104125E-2"/>
          <c:w val="0.56903783602585567"/>
          <c:h val="0.9111359542421098"/>
        </c:manualLayout>
      </c:layout>
      <c:radarChart>
        <c:radarStyle val="marker"/>
        <c:varyColors val="0"/>
        <c:ser>
          <c:idx val="0"/>
          <c:order val="0"/>
          <c:tx>
            <c:strRef>
              <c:f>etudiant!$I$34</c:f>
              <c:strCache>
                <c:ptCount val="1"/>
                <c:pt idx="0">
                  <c:v>Etudiant</c:v>
                </c:pt>
              </c:strCache>
            </c:strRef>
          </c:tx>
          <c:spPr>
            <a:ln w="28575" cap="rnd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etudiant!$H$35:$H$45</c:f>
              <c:strCache>
                <c:ptCount val="11"/>
                <c:pt idx="0">
                  <c:v>ANGLAIS</c:v>
                </c:pt>
                <c:pt idx="1">
                  <c:v>BD</c:v>
                </c:pt>
                <c:pt idx="2">
                  <c:v>CONDPRJ</c:v>
                </c:pt>
                <c:pt idx="3">
                  <c:v>DEVTSPE</c:v>
                </c:pt>
                <c:pt idx="4">
                  <c:v>DROIT</c:v>
                </c:pt>
                <c:pt idx="5">
                  <c:v>EXPRCOM</c:v>
                </c:pt>
                <c:pt idx="6">
                  <c:v>GL</c:v>
                </c:pt>
                <c:pt idx="7">
                  <c:v>PPO</c:v>
                </c:pt>
                <c:pt idx="8">
                  <c:v>PRJIND</c:v>
                </c:pt>
                <c:pt idx="9">
                  <c:v>SAR</c:v>
                </c:pt>
                <c:pt idx="10">
                  <c:v>MÉMOIRE</c:v>
                </c:pt>
              </c:strCache>
            </c:strRef>
          </c:cat>
          <c:val>
            <c:numRef>
              <c:f>etudiant!$I$35:$I$45</c:f>
              <c:numCache>
                <c:formatCode>0.00</c:formatCode>
                <c:ptCount val="11"/>
                <c:pt idx="0">
                  <c:v>8</c:v>
                </c:pt>
                <c:pt idx="1">
                  <c:v>7.91</c:v>
                </c:pt>
                <c:pt idx="2">
                  <c:v>6.5</c:v>
                </c:pt>
                <c:pt idx="3">
                  <c:v>17</c:v>
                </c:pt>
                <c:pt idx="4">
                  <c:v>5.65</c:v>
                </c:pt>
                <c:pt idx="5">
                  <c:v>7.5</c:v>
                </c:pt>
                <c:pt idx="6">
                  <c:v>5.25</c:v>
                </c:pt>
                <c:pt idx="7">
                  <c:v>19.079999999999998</c:v>
                </c:pt>
                <c:pt idx="8">
                  <c:v>15.5</c:v>
                </c:pt>
                <c:pt idx="9">
                  <c:v>11.33</c:v>
                </c:pt>
                <c:pt idx="10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3D-47D4-B684-24EF149C62F7}"/>
            </c:ext>
          </c:extLst>
        </c:ser>
        <c:ser>
          <c:idx val="1"/>
          <c:order val="1"/>
          <c:tx>
            <c:strRef>
              <c:f>etudiant!$J$34</c:f>
              <c:strCache>
                <c:ptCount val="1"/>
                <c:pt idx="0">
                  <c:v>Promo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etudiant!$H$35:$H$45</c:f>
              <c:strCache>
                <c:ptCount val="11"/>
                <c:pt idx="0">
                  <c:v>ANGLAIS</c:v>
                </c:pt>
                <c:pt idx="1">
                  <c:v>BD</c:v>
                </c:pt>
                <c:pt idx="2">
                  <c:v>CONDPRJ</c:v>
                </c:pt>
                <c:pt idx="3">
                  <c:v>DEVTSPE</c:v>
                </c:pt>
                <c:pt idx="4">
                  <c:v>DROIT</c:v>
                </c:pt>
                <c:pt idx="5">
                  <c:v>EXPRCOM</c:v>
                </c:pt>
                <c:pt idx="6">
                  <c:v>GL</c:v>
                </c:pt>
                <c:pt idx="7">
                  <c:v>PPO</c:v>
                </c:pt>
                <c:pt idx="8">
                  <c:v>PRJIND</c:v>
                </c:pt>
                <c:pt idx="9">
                  <c:v>SAR</c:v>
                </c:pt>
                <c:pt idx="10">
                  <c:v>MÉMOIRE</c:v>
                </c:pt>
              </c:strCache>
            </c:strRef>
          </c:cat>
          <c:val>
            <c:numRef>
              <c:f>etudiant!$J$35:$J$45</c:f>
              <c:numCache>
                <c:formatCode>0.00</c:formatCode>
                <c:ptCount val="11"/>
                <c:pt idx="0">
                  <c:v>9.5594736842105252</c:v>
                </c:pt>
                <c:pt idx="1">
                  <c:v>8.6636842105263145</c:v>
                </c:pt>
                <c:pt idx="2">
                  <c:v>10.184210526315789</c:v>
                </c:pt>
                <c:pt idx="3">
                  <c:v>14</c:v>
                </c:pt>
                <c:pt idx="4">
                  <c:v>7.5131578947368425</c:v>
                </c:pt>
                <c:pt idx="5">
                  <c:v>11.618421052631579</c:v>
                </c:pt>
                <c:pt idx="6">
                  <c:v>10.427894736842106</c:v>
                </c:pt>
                <c:pt idx="7">
                  <c:v>12.656842105263154</c:v>
                </c:pt>
                <c:pt idx="8">
                  <c:v>11.263157894736842</c:v>
                </c:pt>
                <c:pt idx="9">
                  <c:v>11.280526315789476</c:v>
                </c:pt>
                <c:pt idx="10">
                  <c:v>12.236842105263158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3D-47D4-B684-24EF149C62F7}"/>
            </c:ext>
          </c:extLst>
        </c:ser>
        <c:ser>
          <c:idx val="2"/>
          <c:order val="2"/>
          <c:tx>
            <c:strRef>
              <c:f>etudiant!$K$34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etudiant!$H$35:$H$45</c:f>
              <c:strCache>
                <c:ptCount val="11"/>
                <c:pt idx="0">
                  <c:v>ANGLAIS</c:v>
                </c:pt>
                <c:pt idx="1">
                  <c:v>BD</c:v>
                </c:pt>
                <c:pt idx="2">
                  <c:v>CONDPRJ</c:v>
                </c:pt>
                <c:pt idx="3">
                  <c:v>DEVTSPE</c:v>
                </c:pt>
                <c:pt idx="4">
                  <c:v>DROIT</c:v>
                </c:pt>
                <c:pt idx="5">
                  <c:v>EXPRCOM</c:v>
                </c:pt>
                <c:pt idx="6">
                  <c:v>GL</c:v>
                </c:pt>
                <c:pt idx="7">
                  <c:v>PPO</c:v>
                </c:pt>
                <c:pt idx="8">
                  <c:v>PRJIND</c:v>
                </c:pt>
                <c:pt idx="9">
                  <c:v>SAR</c:v>
                </c:pt>
                <c:pt idx="10">
                  <c:v>MÉMOIRE</c:v>
                </c:pt>
              </c:strCache>
            </c:strRef>
          </c:cat>
          <c:val>
            <c:numRef>
              <c:f>etudiant!$K$35:$K$45</c:f>
              <c:numCache>
                <c:formatCode>0.00</c:formatCode>
                <c:ptCount val="11"/>
                <c:pt idx="0">
                  <c:v>1</c:v>
                </c:pt>
                <c:pt idx="1">
                  <c:v>1.86</c:v>
                </c:pt>
                <c:pt idx="2">
                  <c:v>1.5</c:v>
                </c:pt>
                <c:pt idx="3">
                  <c:v>11</c:v>
                </c:pt>
                <c:pt idx="4">
                  <c:v>0.5</c:v>
                </c:pt>
                <c:pt idx="5">
                  <c:v>5.75</c:v>
                </c:pt>
                <c:pt idx="6">
                  <c:v>4</c:v>
                </c:pt>
                <c:pt idx="7">
                  <c:v>2.82</c:v>
                </c:pt>
                <c:pt idx="8">
                  <c:v>0</c:v>
                </c:pt>
                <c:pt idx="9">
                  <c:v>2.25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3D-47D4-B684-24EF149C62F7}"/>
            </c:ext>
          </c:extLst>
        </c:ser>
        <c:ser>
          <c:idx val="3"/>
          <c:order val="3"/>
          <c:tx>
            <c:strRef>
              <c:f>etudiant!$L$34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>
              <a:softEdge rad="0"/>
            </a:effectLst>
          </c:spPr>
          <c:marker>
            <c:symbol val="none"/>
          </c:marker>
          <c:cat>
            <c:strRef>
              <c:f>etudiant!$H$35:$H$45</c:f>
              <c:strCache>
                <c:ptCount val="11"/>
                <c:pt idx="0">
                  <c:v>ANGLAIS</c:v>
                </c:pt>
                <c:pt idx="1">
                  <c:v>BD</c:v>
                </c:pt>
                <c:pt idx="2">
                  <c:v>CONDPRJ</c:v>
                </c:pt>
                <c:pt idx="3">
                  <c:v>DEVTSPE</c:v>
                </c:pt>
                <c:pt idx="4">
                  <c:v>DROIT</c:v>
                </c:pt>
                <c:pt idx="5">
                  <c:v>EXPRCOM</c:v>
                </c:pt>
                <c:pt idx="6">
                  <c:v>GL</c:v>
                </c:pt>
                <c:pt idx="7">
                  <c:v>PPO</c:v>
                </c:pt>
                <c:pt idx="8">
                  <c:v>PRJIND</c:v>
                </c:pt>
                <c:pt idx="9">
                  <c:v>SAR</c:v>
                </c:pt>
                <c:pt idx="10">
                  <c:v>MÉMOIRE</c:v>
                </c:pt>
              </c:strCache>
            </c:strRef>
          </c:cat>
          <c:val>
            <c:numRef>
              <c:f>etudiant!$L$35:$L$45</c:f>
              <c:numCache>
                <c:formatCode>0.00</c:formatCode>
                <c:ptCount val="11"/>
                <c:pt idx="0">
                  <c:v>16.170000000000002</c:v>
                </c:pt>
                <c:pt idx="1">
                  <c:v>13.54</c:v>
                </c:pt>
                <c:pt idx="2">
                  <c:v>19</c:v>
                </c:pt>
                <c:pt idx="3">
                  <c:v>17</c:v>
                </c:pt>
                <c:pt idx="4">
                  <c:v>13.75</c:v>
                </c:pt>
                <c:pt idx="5">
                  <c:v>15.75</c:v>
                </c:pt>
                <c:pt idx="6">
                  <c:v>15.63</c:v>
                </c:pt>
                <c:pt idx="7">
                  <c:v>19.079999999999998</c:v>
                </c:pt>
                <c:pt idx="8">
                  <c:v>17.5</c:v>
                </c:pt>
                <c:pt idx="9">
                  <c:v>17.920000000000002</c:v>
                </c:pt>
                <c:pt idx="1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3D-47D4-B684-24EF149C6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537256"/>
        <c:axId val="469536928"/>
      </c:radarChart>
      <c:catAx>
        <c:axId val="469537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9536928"/>
        <c:crosses val="autoZero"/>
        <c:auto val="1"/>
        <c:lblAlgn val="ctr"/>
        <c:lblOffset val="100"/>
        <c:noMultiLvlLbl val="0"/>
      </c:catAx>
      <c:valAx>
        <c:axId val="46953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9537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1.5680149224475217E-2"/>
          <c:y val="8.3675116782750997E-2"/>
          <c:w val="9.7623288985100934E-2"/>
          <c:h val="0.215824422376775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71112093412679"/>
          <c:y val="0.12815593536996731"/>
          <c:w val="0.8006976044755757"/>
          <c:h val="0.87184396755021276"/>
        </c:manualLayout>
      </c:layout>
      <c:doughnutChart>
        <c:varyColors val="1"/>
        <c:ser>
          <c:idx val="1"/>
          <c:order val="0"/>
          <c:explosion val="1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0-5A49-4B07-B706-E661678FE2B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5A49-4B07-B706-E661678FE2B7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78-4D43-A69B-78E30350BB83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D78-4D43-A69B-78E30350BB83}"/>
              </c:ext>
            </c:extLst>
          </c:dPt>
          <c:dPt>
            <c:idx val="4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D78-4D43-A69B-78E30350BB83}"/>
              </c:ext>
            </c:extLst>
          </c:dPt>
          <c:dPt>
            <c:idx val="5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E-5A49-4B07-B706-E661678FE2B7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A49-4B07-B706-E661678FE2B7}"/>
              </c:ext>
            </c:extLst>
          </c:dPt>
          <c:dPt>
            <c:idx val="7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ED78-4D43-A69B-78E30350BB83}"/>
              </c:ext>
            </c:extLst>
          </c:dPt>
          <c:dLbls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78-4D43-A69B-78E30350BB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etudiant!$A$68:$A$74</c:f>
              <c:strCache>
                <c:ptCount val="7"/>
                <c:pt idx="0">
                  <c:v>0 à 7</c:v>
                </c:pt>
                <c:pt idx="1">
                  <c:v>8 à 9</c:v>
                </c:pt>
                <c:pt idx="2">
                  <c:v>Passable</c:v>
                </c:pt>
                <c:pt idx="3">
                  <c:v>Assez bien</c:v>
                </c:pt>
                <c:pt idx="4">
                  <c:v>Bien</c:v>
                </c:pt>
                <c:pt idx="5">
                  <c:v>Très bien</c:v>
                </c:pt>
                <c:pt idx="6">
                  <c:v>total</c:v>
                </c:pt>
              </c:strCache>
            </c:strRef>
          </c:cat>
          <c:val>
            <c:numRef>
              <c:f>etudiant!$C$68:$C$75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12.356166666666667</c:v>
                </c:pt>
                <c:pt idx="4">
                  <c:v>0</c:v>
                </c:pt>
                <c:pt idx="5">
                  <c:v>0</c:v>
                </c:pt>
                <c:pt idx="6">
                  <c:v>7.6438333333333333</c:v>
                </c:pt>
                <c:pt idx="7" formatCode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49-4B07-B706-E661678FE2B7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A49-4B07-B706-E661678FE2B7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5A49-4B07-B706-E661678FE2B7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5A49-4B07-B706-E661678FE2B7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5A49-4B07-B706-E661678FE2B7}"/>
              </c:ext>
            </c:extLst>
          </c:dPt>
          <c:dPt>
            <c:idx val="4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5A49-4B07-B706-E661678FE2B7}"/>
              </c:ext>
            </c:extLst>
          </c:dPt>
          <c:dPt>
            <c:idx val="5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5A49-4B07-B706-E661678FE2B7}"/>
              </c:ext>
            </c:extLst>
          </c:dPt>
          <c:dPt>
            <c:idx val="6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5A49-4B07-B706-E661678FE2B7}"/>
              </c:ext>
            </c:extLst>
          </c:dPt>
          <c:cat>
            <c:strRef>
              <c:f>etudiant!$A$68:$A$74</c:f>
              <c:strCache>
                <c:ptCount val="7"/>
                <c:pt idx="0">
                  <c:v>0 à 7</c:v>
                </c:pt>
                <c:pt idx="1">
                  <c:v>8 à 9</c:v>
                </c:pt>
                <c:pt idx="2">
                  <c:v>Passable</c:v>
                </c:pt>
                <c:pt idx="3">
                  <c:v>Assez bien</c:v>
                </c:pt>
                <c:pt idx="4">
                  <c:v>Bien</c:v>
                </c:pt>
                <c:pt idx="5">
                  <c:v>Très bien</c:v>
                </c:pt>
                <c:pt idx="6">
                  <c:v>total</c:v>
                </c:pt>
              </c:strCache>
            </c:strRef>
          </c:cat>
          <c:val>
            <c:numRef>
              <c:f>etudiant!$B$68:$B$74</c:f>
              <c:numCache>
                <c:formatCode>0%</c:formatCode>
                <c:ptCount val="7"/>
                <c:pt idx="0">
                  <c:v>0.4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0.2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49-4B07-B706-E661678FE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69"/>
        <c:holeSize val="53"/>
      </c:doughnutChart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6"/>
        <c:delete val="1"/>
      </c:legendEntry>
      <c:layout>
        <c:manualLayout>
          <c:xMode val="edge"/>
          <c:yMode val="edge"/>
          <c:x val="4.4158019994829344E-2"/>
          <c:y val="0.64722020121286061"/>
          <c:w val="0.91776869113683246"/>
          <c:h val="0.28837514352884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etudiant!$P$61</c:f>
              <c:strCache>
                <c:ptCount val="1"/>
                <c:pt idx="0">
                  <c:v>0 à 7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etudiant!$Q$61:$S$61</c:f>
              <c:numCache>
                <c:formatCode>0.00</c:formatCode>
                <c:ptCount val="3"/>
                <c:pt idx="0" formatCode="0%">
                  <c:v>0.4</c:v>
                </c:pt>
                <c:pt idx="1">
                  <c:v>0</c:v>
                </c:pt>
                <c:pt idx="2" formatCode="0%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EB-4476-818E-38F400483E40}"/>
            </c:ext>
          </c:extLst>
        </c:ser>
        <c:ser>
          <c:idx val="1"/>
          <c:order val="1"/>
          <c:tx>
            <c:strRef>
              <c:f>etudiant!$P$62</c:f>
              <c:strCache>
                <c:ptCount val="1"/>
                <c:pt idx="0">
                  <c:v>8 à 9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etudiant!$Q$62:$S$62</c:f>
              <c:numCache>
                <c:formatCode>0.00</c:formatCode>
                <c:ptCount val="3"/>
                <c:pt idx="0" formatCode="0%">
                  <c:v>0.1</c:v>
                </c:pt>
                <c:pt idx="1">
                  <c:v>0</c:v>
                </c:pt>
                <c:pt idx="2" formatCode="0%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EB-4476-818E-38F400483E40}"/>
            </c:ext>
          </c:extLst>
        </c:ser>
        <c:ser>
          <c:idx val="2"/>
          <c:order val="2"/>
          <c:tx>
            <c:strRef>
              <c:f>etudiant!$P$63</c:f>
              <c:strCache>
                <c:ptCount val="1"/>
                <c:pt idx="0">
                  <c:v>Passable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4EB-4476-818E-38F400483E4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4EB-4476-818E-38F400483E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etudiant!$Q$63:$S$63</c:f>
              <c:numCache>
                <c:formatCode>0.00</c:formatCode>
                <c:ptCount val="3"/>
                <c:pt idx="0" formatCode="0%">
                  <c:v>0.1</c:v>
                </c:pt>
                <c:pt idx="1">
                  <c:v>0</c:v>
                </c:pt>
                <c:pt idx="2" formatCode="0%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EB-4476-818E-38F400483E40}"/>
            </c:ext>
          </c:extLst>
        </c:ser>
        <c:ser>
          <c:idx val="3"/>
          <c:order val="3"/>
          <c:tx>
            <c:strRef>
              <c:f>etudiant!$P$64</c:f>
              <c:strCache>
                <c:ptCount val="1"/>
                <c:pt idx="0">
                  <c:v>Assez bien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etudiant!$Q$64:$S$64</c:f>
              <c:numCache>
                <c:formatCode>0.00</c:formatCode>
                <c:ptCount val="3"/>
                <c:pt idx="0" formatCode="0%">
                  <c:v>0.1</c:v>
                </c:pt>
                <c:pt idx="1">
                  <c:v>12.356166666666667</c:v>
                </c:pt>
                <c:pt idx="2" formatCode="0%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EB-4476-818E-38F400483E40}"/>
            </c:ext>
          </c:extLst>
        </c:ser>
        <c:ser>
          <c:idx val="4"/>
          <c:order val="4"/>
          <c:tx>
            <c:strRef>
              <c:f>etudiant!$P$65</c:f>
              <c:strCache>
                <c:ptCount val="1"/>
                <c:pt idx="0">
                  <c:v>Bien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etudiant!$Q$65:$S$65</c:f>
              <c:numCache>
                <c:formatCode>0.00</c:formatCode>
                <c:ptCount val="3"/>
                <c:pt idx="0" formatCode="0%">
                  <c:v>0.1</c:v>
                </c:pt>
                <c:pt idx="1">
                  <c:v>0</c:v>
                </c:pt>
                <c:pt idx="2" formatCode="0%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EB-4476-818E-38F400483E40}"/>
            </c:ext>
          </c:extLst>
        </c:ser>
        <c:ser>
          <c:idx val="5"/>
          <c:order val="5"/>
          <c:tx>
            <c:strRef>
              <c:f>etudiant!$P$66</c:f>
              <c:strCache>
                <c:ptCount val="1"/>
                <c:pt idx="0">
                  <c:v>Très bien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etudiant!$Q$66:$S$66</c:f>
              <c:numCache>
                <c:formatCode>0.00</c:formatCode>
                <c:ptCount val="3"/>
                <c:pt idx="0" formatCode="0%">
                  <c:v>0.2</c:v>
                </c:pt>
                <c:pt idx="1">
                  <c:v>0</c:v>
                </c:pt>
                <c:pt idx="2" formatCode="0%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EB-4476-818E-38F400483E40}"/>
            </c:ext>
          </c:extLst>
        </c:ser>
        <c:ser>
          <c:idx val="6"/>
          <c:order val="6"/>
          <c:tx>
            <c:strRef>
              <c:f>etudiant!$P$67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4EB-4476-818E-38F400483E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etudiant!$Q$67:$S$67</c:f>
              <c:numCache>
                <c:formatCode>0.00</c:formatCode>
                <c:ptCount val="3"/>
                <c:pt idx="1">
                  <c:v>7.6438333333333333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EB-4476-818E-38F400483E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1342587343"/>
        <c:axId val="1342318367"/>
      </c:barChart>
      <c:catAx>
        <c:axId val="134258734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2318367"/>
        <c:crosses val="autoZero"/>
        <c:auto val="1"/>
        <c:lblAlgn val="ctr"/>
        <c:lblOffset val="100"/>
        <c:noMultiLvlLbl val="0"/>
      </c:catAx>
      <c:valAx>
        <c:axId val="134231836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342587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5"/>
        <c:delete val="1"/>
      </c:legendEntry>
      <c:legendEntry>
        <c:idx val="6"/>
        <c:delete val="1"/>
      </c:legendEntry>
      <c:layout>
        <c:manualLayout>
          <c:xMode val="edge"/>
          <c:yMode val="edge"/>
          <c:x val="0.85842275031477977"/>
          <c:y val="7.991176388213278E-2"/>
          <c:w val="0.1415772496852202"/>
          <c:h val="0.51840409803682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Style="combo" dx="16" fmlaLink="$A$2" fmlaRange="Etudiants" noThreeD="1" sel="14" val="12"/>
</file>

<file path=xl/ctrlProps/ctrlProp5.xml><?xml version="1.0" encoding="utf-8"?>
<formControlPr xmlns="http://schemas.microsoft.com/office/spreadsheetml/2009/9/main" objectType="Drop" dropStyle="combo" dx="16" fmlaLink="$B$2" fmlaRange="Semaines" noThreeD="1" sel="15" val="13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0</xdr:row>
          <xdr:rowOff>99060</xdr:rowOff>
        </xdr:from>
        <xdr:to>
          <xdr:col>2</xdr:col>
          <xdr:colOff>2065020</xdr:colOff>
          <xdr:row>1</xdr:row>
          <xdr:rowOff>190500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Type de graphique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0</xdr:row>
          <xdr:rowOff>236220</xdr:rowOff>
        </xdr:from>
        <xdr:to>
          <xdr:col>2</xdr:col>
          <xdr:colOff>1013460</xdr:colOff>
          <xdr:row>1</xdr:row>
          <xdr:rowOff>99060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barres empilées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1150620</xdr:colOff>
          <xdr:row>0</xdr:row>
          <xdr:rowOff>182880</xdr:rowOff>
        </xdr:from>
        <xdr:to>
          <xdr:col>2</xdr:col>
          <xdr:colOff>1927860</xdr:colOff>
          <xdr:row>1</xdr:row>
          <xdr:rowOff>160020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aires empilées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1</xdr:row>
          <xdr:rowOff>22860</xdr:rowOff>
        </xdr:from>
        <xdr:to>
          <xdr:col>0</xdr:col>
          <xdr:colOff>1165860</xdr:colOff>
          <xdr:row>2</xdr:row>
          <xdr:rowOff>22860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7620</xdr:rowOff>
        </xdr:from>
        <xdr:to>
          <xdr:col>1</xdr:col>
          <xdr:colOff>708660</xdr:colOff>
          <xdr:row>2</xdr:row>
          <xdr:rowOff>7620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66675</xdr:colOff>
      <xdr:row>2</xdr:row>
      <xdr:rowOff>57152</xdr:rowOff>
    </xdr:from>
    <xdr:to>
      <xdr:col>5</xdr:col>
      <xdr:colOff>990600</xdr:colOff>
      <xdr:row>15</xdr:row>
      <xdr:rowOff>104776</xdr:rowOff>
    </xdr:to>
    <xdr:graphicFrame macro="">
      <xdr:nvGraphicFramePr>
        <xdr:cNvPr id="5" name="graph_ab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55245</xdr:colOff>
      <xdr:row>24</xdr:row>
      <xdr:rowOff>142875</xdr:rowOff>
    </xdr:from>
    <xdr:to>
      <xdr:col>2</xdr:col>
      <xdr:colOff>1257300</xdr:colOff>
      <xdr:row>40</xdr:row>
      <xdr:rowOff>62865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1590675</xdr:colOff>
      <xdr:row>23</xdr:row>
      <xdr:rowOff>152400</xdr:rowOff>
    </xdr:from>
    <xdr:to>
      <xdr:col>5</xdr:col>
      <xdr:colOff>485775</xdr:colOff>
      <xdr:row>38</xdr:row>
      <xdr:rowOff>19050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238124</xdr:colOff>
      <xdr:row>39</xdr:row>
      <xdr:rowOff>27213</xdr:rowOff>
    </xdr:from>
    <xdr:to>
      <xdr:col>5</xdr:col>
      <xdr:colOff>312964</xdr:colOff>
      <xdr:row>64</xdr:row>
      <xdr:rowOff>78920</xdr:rowOff>
    </xdr:to>
    <xdr:graphicFrame macro="">
      <xdr:nvGraphicFramePr>
        <xdr:cNvPr id="7" name="graph_rada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45</xdr:row>
          <xdr:rowOff>53340</xdr:rowOff>
        </xdr:from>
        <xdr:to>
          <xdr:col>1</xdr:col>
          <xdr:colOff>175260</xdr:colOff>
          <xdr:row>46</xdr:row>
          <xdr:rowOff>68580</xdr:rowOff>
        </xdr:to>
        <xdr:sp macro="" textlink="">
          <xdr:nvSpPr>
            <xdr:cNvPr id="1063" name="CheckBox4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42</xdr:row>
          <xdr:rowOff>106680</xdr:rowOff>
        </xdr:from>
        <xdr:to>
          <xdr:col>1</xdr:col>
          <xdr:colOff>167640</xdr:colOff>
          <xdr:row>43</xdr:row>
          <xdr:rowOff>121920</xdr:rowOff>
        </xdr:to>
        <xdr:sp macro="" textlink="">
          <xdr:nvSpPr>
            <xdr:cNvPr id="1067" name="CheckBox1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43</xdr:row>
          <xdr:rowOff>167640</xdr:rowOff>
        </xdr:from>
        <xdr:to>
          <xdr:col>1</xdr:col>
          <xdr:colOff>152400</xdr:colOff>
          <xdr:row>45</xdr:row>
          <xdr:rowOff>0</xdr:rowOff>
        </xdr:to>
        <xdr:sp macro="" textlink="">
          <xdr:nvSpPr>
            <xdr:cNvPr id="1068" name="CheckBox2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1247548</xdr:colOff>
      <xdr:row>55</xdr:row>
      <xdr:rowOff>159796</xdr:rowOff>
    </xdr:from>
    <xdr:to>
      <xdr:col>13</xdr:col>
      <xdr:colOff>289559</xdr:colOff>
      <xdr:row>78</xdr:row>
      <xdr:rowOff>137384</xdr:rowOff>
    </xdr:to>
    <xdr:graphicFrame macro="">
      <xdr:nvGraphicFramePr>
        <xdr:cNvPr id="4" name="graphe_anneaux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287481</xdr:colOff>
      <xdr:row>45</xdr:row>
      <xdr:rowOff>162793</xdr:rowOff>
    </xdr:from>
    <xdr:to>
      <xdr:col>24</xdr:col>
      <xdr:colOff>723900</xdr:colOff>
      <xdr:row>82</xdr:row>
      <xdr:rowOff>166255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UT/M3204_M3301/Tableau%20de%20bord/TP%20note/etudiant/notes_absenc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tudiant"/>
      <sheetName val="inscrits"/>
      <sheetName val="modules"/>
      <sheetName val="s38"/>
      <sheetName val="s39"/>
      <sheetName val="s40"/>
      <sheetName val="s41"/>
      <sheetName val="s42"/>
      <sheetName val="s44"/>
      <sheetName val="s45"/>
      <sheetName val="s46"/>
      <sheetName val="s49"/>
      <sheetName val="s50"/>
      <sheetName val="s1"/>
      <sheetName val="s2"/>
      <sheetName val="s5"/>
      <sheetName val="s6"/>
      <sheetName val="s11"/>
      <sheetName val="s12"/>
      <sheetName val="s13"/>
      <sheetName val="s18"/>
      <sheetName val="s19"/>
      <sheetName val="s20"/>
      <sheetName val="notes"/>
    </sheetNames>
    <sheetDataSet>
      <sheetData sheetId="0"/>
      <sheetData sheetId="1">
        <row r="1">
          <cell r="A1" t="str">
            <v>BARRETO</v>
          </cell>
        </row>
        <row r="2">
          <cell r="A2" t="str">
            <v>CAMILLE</v>
          </cell>
        </row>
        <row r="3">
          <cell r="A3" t="str">
            <v>DAQUOIS</v>
          </cell>
        </row>
        <row r="4">
          <cell r="A4" t="str">
            <v>LAJAUNI</v>
          </cell>
        </row>
        <row r="5">
          <cell r="A5" t="str">
            <v>ESSAHI</v>
          </cell>
        </row>
        <row r="6">
          <cell r="A6" t="str">
            <v>HANSI</v>
          </cell>
        </row>
        <row r="7">
          <cell r="A7" t="str">
            <v>HOUNOIS</v>
          </cell>
        </row>
        <row r="8">
          <cell r="A8" t="str">
            <v>JAQUOT</v>
          </cell>
        </row>
        <row r="9">
          <cell r="A9" t="str">
            <v>KONIGAM</v>
          </cell>
        </row>
        <row r="10">
          <cell r="A10" t="str">
            <v>LEFRAND</v>
          </cell>
        </row>
        <row r="11">
          <cell r="A11" t="str">
            <v>LEKOWSKI</v>
          </cell>
        </row>
        <row r="12">
          <cell r="A12" t="str">
            <v>ARTHUR</v>
          </cell>
        </row>
        <row r="13">
          <cell r="A13" t="str">
            <v>MALPOISSI</v>
          </cell>
        </row>
        <row r="14">
          <cell r="A14" t="str">
            <v>MORRIERA</v>
          </cell>
        </row>
        <row r="15">
          <cell r="A15" t="str">
            <v>PORETEAU</v>
          </cell>
        </row>
        <row r="16">
          <cell r="A16" t="str">
            <v>PRAIVIL</v>
          </cell>
        </row>
        <row r="17">
          <cell r="A17" t="str">
            <v>SAUCET</v>
          </cell>
        </row>
        <row r="18">
          <cell r="A18" t="str">
            <v>THIRIEZ</v>
          </cell>
        </row>
        <row r="19">
          <cell r="A19" t="str">
            <v>ZIGALIMARTY</v>
          </cell>
        </row>
      </sheetData>
      <sheetData sheetId="2">
        <row r="1">
          <cell r="A1" t="str">
            <v>ALGO/Java</v>
          </cell>
          <cell r="B1">
            <v>1.3333333333333333</v>
          </cell>
        </row>
        <row r="2">
          <cell r="A2" t="str">
            <v>ANGLAIS</v>
          </cell>
          <cell r="B2">
            <v>3.6</v>
          </cell>
        </row>
        <row r="3">
          <cell r="A3" t="str">
            <v>BD</v>
          </cell>
          <cell r="B3">
            <v>7</v>
          </cell>
        </row>
        <row r="4">
          <cell r="A4" t="str">
            <v>CONDPRJ</v>
          </cell>
          <cell r="B4">
            <v>1.2</v>
          </cell>
        </row>
        <row r="5">
          <cell r="A5" t="str">
            <v>DEVTSPE</v>
          </cell>
          <cell r="B5">
            <v>4</v>
          </cell>
        </row>
        <row r="6">
          <cell r="A6" t="str">
            <v>DROIT</v>
          </cell>
          <cell r="B6">
            <v>1.2</v>
          </cell>
        </row>
        <row r="7">
          <cell r="A7" t="str">
            <v>EXPRCOM</v>
          </cell>
          <cell r="B7">
            <v>2</v>
          </cell>
        </row>
        <row r="8">
          <cell r="A8" t="str">
            <v>GL</v>
          </cell>
          <cell r="B8">
            <v>7</v>
          </cell>
        </row>
        <row r="9">
          <cell r="A9" t="str">
            <v>MATHINFO</v>
          </cell>
          <cell r="B9">
            <v>1.3333333333333333</v>
          </cell>
        </row>
        <row r="10">
          <cell r="A10" t="str">
            <v>PPO</v>
          </cell>
          <cell r="B10">
            <v>7</v>
          </cell>
        </row>
        <row r="11">
          <cell r="A11" t="str">
            <v>PRJIND</v>
          </cell>
          <cell r="B11">
            <v>8</v>
          </cell>
        </row>
        <row r="12">
          <cell r="A12" t="str">
            <v>SAR</v>
          </cell>
          <cell r="B12">
            <v>7</v>
          </cell>
        </row>
        <row r="13">
          <cell r="A13" t="str">
            <v>SI</v>
          </cell>
          <cell r="B13">
            <v>1.3333333333333333</v>
          </cell>
        </row>
        <row r="14">
          <cell r="A14" t="str">
            <v>SYSTEME</v>
          </cell>
          <cell r="B14">
            <v>1.3333333333333333</v>
          </cell>
        </row>
        <row r="15">
          <cell r="A15" t="str">
            <v>MÉMOIRE</v>
          </cell>
          <cell r="B15">
            <v>12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3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.xml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S76"/>
  <sheetViews>
    <sheetView tabSelected="1" topLeftCell="A82" zoomScale="40" zoomScaleNormal="40" workbookViewId="0">
      <selection activeCell="AB44" sqref="AB44"/>
    </sheetView>
  </sheetViews>
  <sheetFormatPr baseColWidth="10" defaultRowHeight="14.4" x14ac:dyDescent="0.3"/>
  <cols>
    <col min="1" max="1" width="17.44140625" customWidth="1"/>
    <col min="2" max="2" width="11.88671875" customWidth="1"/>
    <col min="3" max="3" width="33.44140625" customWidth="1"/>
    <col min="4" max="5" width="25.88671875" customWidth="1"/>
    <col min="6" max="6" width="18" customWidth="1"/>
    <col min="7" max="7" width="8" style="8" customWidth="1"/>
    <col min="8" max="8" width="12" style="8" customWidth="1"/>
    <col min="9" max="9" width="11.88671875" style="8" customWidth="1"/>
    <col min="10" max="10" width="8.88671875" style="8" customWidth="1"/>
    <col min="11" max="11" width="10.88671875" style="8" customWidth="1"/>
    <col min="12" max="12" width="8.6640625" customWidth="1"/>
    <col min="14" max="14" width="14.5546875" customWidth="1"/>
  </cols>
  <sheetData>
    <row r="1" spans="1:12" ht="20.25" customHeight="1" x14ac:dyDescent="0.3">
      <c r="A1" s="4" t="s">
        <v>52</v>
      </c>
      <c r="B1" s="4" t="s">
        <v>53</v>
      </c>
      <c r="C1" s="4"/>
      <c r="D1" s="4"/>
      <c r="G1" s="7"/>
      <c r="H1" s="44" t="s">
        <v>44</v>
      </c>
      <c r="I1" s="44" t="s">
        <v>42</v>
      </c>
      <c r="J1" s="44" t="s">
        <v>43</v>
      </c>
      <c r="K1" s="45" t="s">
        <v>45</v>
      </c>
      <c r="L1" s="2"/>
    </row>
    <row r="2" spans="1:12" ht="15.6" x14ac:dyDescent="0.3">
      <c r="A2" s="4">
        <v>14</v>
      </c>
      <c r="B2" s="4">
        <v>15</v>
      </c>
      <c r="E2" s="7"/>
      <c r="F2" s="9"/>
      <c r="G2" s="44">
        <v>38</v>
      </c>
      <c r="H2" s="9">
        <f ca="1">SUMPRODUCT((INDIRECT("s" &amp; $G2 &amp; "!$B$" &amp; ($A$2+4)):INDIRECT("s" &amp; $G2 &amp; "!$Z$" &amp; ($A$2+4))="")*((INDIRECT("s" &amp; $G2 &amp; "!$B$4"):INDIRECT("s" &amp; $G2 &amp; "!$Z$4"))-(INDIRECT("s" &amp; $G2 &amp; "!$B$3"): INDIRECT("s" &amp; $G2 &amp; "!$Z$3"))))</f>
        <v>16</v>
      </c>
      <c r="I2" s="9">
        <f ca="1">SUMPRODUCT((INDIRECT("s" &amp; $G2 &amp; "!$B$" &amp; ($A$2+4)):INDIRECT("s" &amp; $G2 &amp; "!$Z$" &amp; ($A$2+4))="J")*((INDIRECT("s" &amp; $G2 &amp; "!$B$4"):INDIRECT("s" &amp; $G2 &amp; "!$Z$4"))-(INDIRECT("s" &amp; $G2 &amp; "!$B$3"): INDIRECT("s" &amp; $G2 &amp; "!$Z$3"))))</f>
        <v>0</v>
      </c>
      <c r="J2" s="3">
        <f ca="1">SUMPRODUCT((INDIRECT("s" &amp; $G2 &amp; "!$B$" &amp; ($A$2+4)):INDIRECT("s" &amp; $G2 &amp; "!$Z$" &amp; ($A$2+4))="E")*((INDIRECT("s" &amp; $G2 &amp; "!$B$4"):INDIRECT("s" &amp; $G2 &amp; "!$Z$4"))-(INDIRECT("s" &amp; $G2 &amp; "!$B$3"): INDIRECT("s" &amp; $G2 &amp; "!$Z$3"))))</f>
        <v>0</v>
      </c>
      <c r="K2">
        <f ca="1">SUMPRODUCT((INDIRECT("s" &amp; $G2 &amp; "!$B$" &amp; ($A$2+4)):INDIRECT("s" &amp; $G2 &amp; "!$Z$" &amp; ($A$2+4))="A")*((INDIRECT("s" &amp; $G2 &amp; "!$B$4"):INDIRECT("s" &amp; $G2 &amp; "!$Z$4"))-(INDIRECT("s" &amp; $G2 &amp; "!$B$3"): INDIRECT("s" &amp; $G2 &amp; "!$Z$3"))))</f>
        <v>0</v>
      </c>
    </row>
    <row r="3" spans="1:12" x14ac:dyDescent="0.3">
      <c r="G3" s="44">
        <v>39</v>
      </c>
      <c r="H3" s="9">
        <f ca="1">SUMPRODUCT((INDIRECT("s" &amp; $G3 &amp; "!$B$" &amp; ($A$2+4)):INDIRECT("s" &amp; $G3 &amp; "!$Z$" &amp; ($A$2+4))="")*((INDIRECT("s" &amp; $G3 &amp; "!$B$4"):INDIRECT("s" &amp; $G3 &amp; "!$Z$4"))-(INDIRECT("s" &amp; $G3 &amp; "!$B$3"): INDIRECT("s" &amp; $G3 &amp; "!$Z$3"))))</f>
        <v>23.5</v>
      </c>
      <c r="I3" s="9">
        <f ca="1">SUMPRODUCT((INDIRECT("s" &amp; $G3 &amp; "!$B$" &amp; ($A$2+4)):INDIRECT("s" &amp; $G3 &amp; "!$Z$" &amp; ($A$2+4))="J")*((INDIRECT("s" &amp; $G3 &amp; "!$B$4"):INDIRECT("s" &amp; $G3 &amp; "!$Z$4"))-(INDIRECT("s" &amp; $G3 &amp; "!$B$3"): INDIRECT("s" &amp; $G3 &amp; "!$Z$3"))))</f>
        <v>0</v>
      </c>
      <c r="J3" s="3">
        <f ca="1">SUMPRODUCT((INDIRECT("s" &amp; $G3 &amp; "!$B$" &amp; ($A$2+4)):INDIRECT("s" &amp; $G3 &amp; "!$Z$" &amp; ($A$2+4))="E")*((INDIRECT("s" &amp; $G3 &amp; "!$B$4"):INDIRECT("s" &amp; $G3 &amp; "!$Z$4"))-(INDIRECT("s" &amp; $G3 &amp; "!$B$3"): INDIRECT("s" &amp; $G3 &amp; "!$Z$3"))))</f>
        <v>0</v>
      </c>
      <c r="K3">
        <f ca="1">SUMPRODUCT((INDIRECT("s" &amp; $G3 &amp; "!$B$" &amp; ($A$2+4)):INDIRECT("s" &amp; $G3 &amp; "!$Z$" &amp; ($A$2+4))="A")*((INDIRECT("s" &amp; $G3 &amp; "!$B$4"):INDIRECT("s" &amp; $G3 &amp; "!$Z$4"))-(INDIRECT("s" &amp; $G3 &amp; "!$B$3"): INDIRECT("s" &amp; $G3 &amp; "!$Z$3"))))</f>
        <v>0</v>
      </c>
      <c r="L3" s="3"/>
    </row>
    <row r="4" spans="1:12" x14ac:dyDescent="0.3">
      <c r="G4" s="44">
        <v>40</v>
      </c>
      <c r="H4" s="9">
        <f ca="1">SUMPRODUCT((INDIRECT("s" &amp; $G4 &amp; "!$B$" &amp; ($A$2+4)):INDIRECT("s" &amp; $G4 &amp; "!$Z$" &amp; ($A$2+4))="")*((INDIRECT("s" &amp; $G4 &amp; "!$B$4"):INDIRECT("s" &amp; $G4 &amp; "!$Z$4"))-(INDIRECT("s" &amp; $G4 &amp; "!$B$3"): INDIRECT("s" &amp; $G4 &amp; "!$Z$3"))))</f>
        <v>22</v>
      </c>
      <c r="I4" s="9">
        <f ca="1">SUMPRODUCT((INDIRECT("s" &amp; $G4 &amp; "!$B$" &amp; ($A$2+4)):INDIRECT("s" &amp; $G4 &amp; "!$Z$" &amp; ($A$2+4))="J")*((INDIRECT("s" &amp; $G4 &amp; "!$B$4"):INDIRECT("s" &amp; $G4 &amp; "!$Z$4"))-(INDIRECT("s" &amp; $G4 &amp; "!$B$3"): INDIRECT("s" &amp; $G4 &amp; "!$Z$3"))))</f>
        <v>0</v>
      </c>
      <c r="J4" s="3">
        <f ca="1">SUMPRODUCT((INDIRECT("s" &amp; $G4 &amp; "!$B$" &amp; ($A$2+4)):INDIRECT("s" &amp; $G4 &amp; "!$Z$" &amp; ($A$2+4))="E")*((INDIRECT("s" &amp; $G4 &amp; "!$B$4"):INDIRECT("s" &amp; $G4 &amp; "!$Z$4"))-(INDIRECT("s" &amp; $G4 &amp; "!$B$3"): INDIRECT("s" &amp; $G4 &amp; "!$Z$3"))))</f>
        <v>0</v>
      </c>
      <c r="K4">
        <f ca="1">SUMPRODUCT((INDIRECT("s" &amp; $G4 &amp; "!$B$" &amp; ($A$2+4)):INDIRECT("s" &amp; $G4 &amp; "!$Z$" &amp; ($A$2+4))="A")*((INDIRECT("s" &amp; $G4 &amp; "!$B$4"):INDIRECT("s" &amp; $G4 &amp; "!$Z$4"))-(INDIRECT("s" &amp; $G4 &amp; "!$B$3"): INDIRECT("s" &amp; $G4 &amp; "!$Z$3"))))</f>
        <v>0</v>
      </c>
      <c r="L4" s="3"/>
    </row>
    <row r="5" spans="1:12" x14ac:dyDescent="0.3">
      <c r="G5" s="44">
        <v>41</v>
      </c>
      <c r="H5" s="9">
        <f ca="1">SUMPRODUCT((INDIRECT("s" &amp; $G5 &amp; "!$B$" &amp; ($A$2+4)):INDIRECT("s" &amp; $G5 &amp; "!$Z$" &amp; ($A$2+4))="")*((INDIRECT("s" &amp; $G5 &amp; "!$B$4"):INDIRECT("s" &amp; $G5 &amp; "!$Z$4"))-(INDIRECT("s" &amp; $G5 &amp; "!$B$3"): INDIRECT("s" &amp; $G5 &amp; "!$Z$3"))))</f>
        <v>24</v>
      </c>
      <c r="I5" s="9">
        <f ca="1">SUMPRODUCT((INDIRECT("s" &amp; $G5 &amp; "!$B$" &amp; ($A$2+4)):INDIRECT("s" &amp; $G5 &amp; "!$Z$" &amp; ($A$2+4))="J")*((INDIRECT("s" &amp; $G5 &amp; "!$B$4"):INDIRECT("s" &amp; $G5 &amp; "!$Z$4"))-(INDIRECT("s" &amp; $G5 &amp; "!$B$3"): INDIRECT("s" &amp; $G5 &amp; "!$Z$3"))))</f>
        <v>0</v>
      </c>
      <c r="J5" s="3">
        <f ca="1">SUMPRODUCT((INDIRECT("s" &amp; $G5 &amp; "!$B$" &amp; ($A$2+4)):INDIRECT("s" &amp; $G5 &amp; "!$Z$" &amp; ($A$2+4))="E")*((INDIRECT("s" &amp; $G5 &amp; "!$B$4"):INDIRECT("s" &amp; $G5 &amp; "!$Z$4"))-(INDIRECT("s" &amp; $G5 &amp; "!$B$3"): INDIRECT("s" &amp; $G5 &amp; "!$Z$3"))))</f>
        <v>0</v>
      </c>
      <c r="K5">
        <f ca="1">SUMPRODUCT((INDIRECT("s" &amp; $G5 &amp; "!$B$" &amp; ($A$2+4)):INDIRECT("s" &amp; $G5 &amp; "!$Z$" &amp; ($A$2+4))="A")*((INDIRECT("s" &amp; $G5 &amp; "!$B$4"):INDIRECT("s" &amp; $G5 &amp; "!$Z$4"))-(INDIRECT("s" &amp; $G5 &amp; "!$B$3"): INDIRECT("s" &amp; $G5 &amp; "!$Z$3"))))</f>
        <v>0</v>
      </c>
      <c r="L5" s="3"/>
    </row>
    <row r="6" spans="1:12" x14ac:dyDescent="0.3">
      <c r="G6" s="44">
        <v>42</v>
      </c>
      <c r="H6" s="9">
        <f ca="1">SUMPRODUCT((INDIRECT("s" &amp; $G6 &amp; "!$B$" &amp; ($A$2+4)):INDIRECT("s" &amp; $G6 &amp; "!$Z$" &amp; ($A$2+4))="")*((INDIRECT("s" &amp; $G6 &amp; "!$B$4"):INDIRECT("s" &amp; $G6 &amp; "!$Z$4"))-(INDIRECT("s" &amp; $G6 &amp; "!$B$3"): INDIRECT("s" &amp; $G6 &amp; "!$Z$3"))))</f>
        <v>20</v>
      </c>
      <c r="I6" s="9">
        <f ca="1">SUMPRODUCT((INDIRECT("s" &amp; $G6 &amp; "!$B$" &amp; ($A$2+4)):INDIRECT("s" &amp; $G6 &amp; "!$Z$" &amp; ($A$2+4))="J")*((INDIRECT("s" &amp; $G6 &amp; "!$B$4"):INDIRECT("s" &amp; $G6 &amp; "!$Z$4"))-(INDIRECT("s" &amp; $G6 &amp; "!$B$3"): INDIRECT("s" &amp; $G6 &amp; "!$Z$3"))))</f>
        <v>0</v>
      </c>
      <c r="J6" s="3">
        <f ca="1">SUMPRODUCT((INDIRECT("s" &amp; $G6 &amp; "!$B$" &amp; ($A$2+4)):INDIRECT("s" &amp; $G6 &amp; "!$Z$" &amp; ($A$2+4))="E")*((INDIRECT("s" &amp; $G6 &amp; "!$B$4"):INDIRECT("s" &amp; $G6 &amp; "!$Z$4"))-(INDIRECT("s" &amp; $G6 &amp; "!$B$3"): INDIRECT("s" &amp; $G6 &amp; "!$Z$3"))))</f>
        <v>0</v>
      </c>
      <c r="K6">
        <f ca="1">SUMPRODUCT((INDIRECT("s" &amp; $G6 &amp; "!$B$" &amp; ($A$2+4)):INDIRECT("s" &amp; $G6 &amp; "!$Z$" &amp; ($A$2+4))="A")*((INDIRECT("s" &amp; $G6 &amp; "!$B$4"):INDIRECT("s" &amp; $G6 &amp; "!$Z$4"))-(INDIRECT("s" &amp; $G6 &amp; "!$B$3"): INDIRECT("s" &amp; $G6 &amp; "!$Z$3"))))</f>
        <v>0</v>
      </c>
      <c r="L6" s="3"/>
    </row>
    <row r="7" spans="1:12" x14ac:dyDescent="0.3">
      <c r="G7" s="44">
        <v>44</v>
      </c>
      <c r="H7" s="9">
        <f ca="1">SUMPRODUCT((INDIRECT("s" &amp; $G7 &amp; "!$B$" &amp; ($A$2+4)):INDIRECT("s" &amp; $G7 &amp; "!$Z$" &amp; ($A$2+4))="")*((INDIRECT("s" &amp; $G7 &amp; "!$B$4"):INDIRECT("s" &amp; $G7 &amp; "!$Z$4"))-(INDIRECT("s" &amp; $G7 &amp; "!$B$3"): INDIRECT("s" &amp; $G7 &amp; "!$Z$3"))))</f>
        <v>12</v>
      </c>
      <c r="I7" s="9">
        <f ca="1">SUMPRODUCT((INDIRECT("s" &amp; $G7 &amp; "!$B$" &amp; ($A$2+4)):INDIRECT("s" &amp; $G7 &amp; "!$Z$" &amp; ($A$2+4))="J")*((INDIRECT("s" &amp; $G7 &amp; "!$B$4"):INDIRECT("s" &amp; $G7 &amp; "!$Z$4"))-(INDIRECT("s" &amp; $G7 &amp; "!$B$3"): INDIRECT("s" &amp; $G7 &amp; "!$Z$3"))))</f>
        <v>0</v>
      </c>
      <c r="J7" s="3">
        <f ca="1">SUMPRODUCT((INDIRECT("s" &amp; $G7 &amp; "!$B$" &amp; ($A$2+4)):INDIRECT("s" &amp; $G7 &amp; "!$Z$" &amp; ($A$2+4))="E")*((INDIRECT("s" &amp; $G7 &amp; "!$B$4"):INDIRECT("s" &amp; $G7 &amp; "!$Z$4"))-(INDIRECT("s" &amp; $G7 &amp; "!$B$3"): INDIRECT("s" &amp; $G7 &amp; "!$Z$3"))))</f>
        <v>0</v>
      </c>
      <c r="K7">
        <f ca="1">SUMPRODUCT((INDIRECT("s" &amp; $G7 &amp; "!$B$" &amp; ($A$2+4)):INDIRECT("s" &amp; $G7 &amp; "!$Z$" &amp; ($A$2+4))="A")*((INDIRECT("s" &amp; $G7 &amp; "!$B$4"):INDIRECT("s" &amp; $G7 &amp; "!$Z$4"))-(INDIRECT("s" &amp; $G7 &amp; "!$B$3"): INDIRECT("s" &amp; $G7 &amp; "!$Z$3"))))</f>
        <v>0</v>
      </c>
      <c r="L7" s="3"/>
    </row>
    <row r="8" spans="1:12" x14ac:dyDescent="0.3">
      <c r="G8" s="44">
        <v>45</v>
      </c>
      <c r="H8" s="9">
        <f ca="1">SUMPRODUCT((INDIRECT("s" &amp; $G8 &amp; "!$B$" &amp; ($A$2+4)):INDIRECT("s" &amp; $G8 &amp; "!$Z$" &amp; ($A$2+4))="")*((INDIRECT("s" &amp; $G8 &amp; "!$B$4"):INDIRECT("s" &amp; $G8 &amp; "!$Z$4"))-(INDIRECT("s" &amp; $G8 &amp; "!$B$3"): INDIRECT("s" &amp; $G8 &amp; "!$Z$3"))))</f>
        <v>26</v>
      </c>
      <c r="I8" s="9">
        <f ca="1">SUMPRODUCT((INDIRECT("s" &amp; $G8 &amp; "!$B$" &amp; ($A$2+4)):INDIRECT("s" &amp; $G8 &amp; "!$Z$" &amp; ($A$2+4))="J")*((INDIRECT("s" &amp; $G8 &amp; "!$B$4"):INDIRECT("s" &amp; $G8 &amp; "!$Z$4"))-(INDIRECT("s" &amp; $G8 &amp; "!$B$3"): INDIRECT("s" &amp; $G8 &amp; "!$Z$3"))))</f>
        <v>0</v>
      </c>
      <c r="J8" s="3">
        <f ca="1">SUMPRODUCT((INDIRECT("s" &amp; $G8 &amp; "!$B$" &amp; ($A$2+4)):INDIRECT("s" &amp; $G8 &amp; "!$Z$" &amp; ($A$2+4))="E")*((INDIRECT("s" &amp; $G8 &amp; "!$B$4"):INDIRECT("s" &amp; $G8 &amp; "!$Z$4"))-(INDIRECT("s" &amp; $G8 &amp; "!$B$3"): INDIRECT("s" &amp; $G8 &amp; "!$Z$3"))))</f>
        <v>0</v>
      </c>
      <c r="K8">
        <f ca="1">SUMPRODUCT((INDIRECT("s" &amp; $G8 &amp; "!$B$" &amp; ($A$2+4)):INDIRECT("s" &amp; $G8 &amp; "!$Z$" &amp; ($A$2+4))="A")*((INDIRECT("s" &amp; $G8 &amp; "!$B$4"):INDIRECT("s" &amp; $G8 &amp; "!$Z$4"))-(INDIRECT("s" &amp; $G8 &amp; "!$B$3"): INDIRECT("s" &amp; $G8 &amp; "!$Z$3"))))</f>
        <v>0</v>
      </c>
      <c r="L8" s="3"/>
    </row>
    <row r="9" spans="1:12" x14ac:dyDescent="0.3">
      <c r="G9" s="44">
        <v>46</v>
      </c>
      <c r="H9" s="9">
        <f ca="1">SUMPRODUCT((INDIRECT("s" &amp; $G9 &amp; "!$B$" &amp; ($A$2+4)):INDIRECT("s" &amp; $G9 &amp; "!$Z$" &amp; ($A$2+4))="")*((INDIRECT("s" &amp; $G9 &amp; "!$B$4"):INDIRECT("s" &amp; $G9 &amp; "!$Z$4"))-(INDIRECT("s" &amp; $G9 &amp; "!$B$3"): INDIRECT("s" &amp; $G9 &amp; "!$Z$3"))))</f>
        <v>33</v>
      </c>
      <c r="I9" s="9">
        <f ca="1">SUMPRODUCT((INDIRECT("s" &amp; $G9 &amp; "!$B$" &amp; ($A$2+4)):INDIRECT("s" &amp; $G9 &amp; "!$Z$" &amp; ($A$2+4))="J")*((INDIRECT("s" &amp; $G9 &amp; "!$B$4"):INDIRECT("s" &amp; $G9 &amp; "!$Z$4"))-(INDIRECT("s" &amp; $G9 &amp; "!$B$3"): INDIRECT("s" &amp; $G9 &amp; "!$Z$3"))))</f>
        <v>0</v>
      </c>
      <c r="J9" s="3">
        <f ca="1">SUMPRODUCT((INDIRECT("s" &amp; $G9 &amp; "!$B$" &amp; ($A$2+4)):INDIRECT("s" &amp; $G9 &amp; "!$Z$" &amp; ($A$2+4))="E")*((INDIRECT("s" &amp; $G9 &amp; "!$B$4"):INDIRECT("s" &amp; $G9 &amp; "!$Z$4"))-(INDIRECT("s" &amp; $G9 &amp; "!$B$3"): INDIRECT("s" &amp; $G9 &amp; "!$Z$3"))))</f>
        <v>0</v>
      </c>
      <c r="K9">
        <f ca="1">SUMPRODUCT((INDIRECT("s" &amp; $G9 &amp; "!$B$" &amp; ($A$2+4)):INDIRECT("s" &amp; $G9 &amp; "!$Z$" &amp; ($A$2+4))="A")*((INDIRECT("s" &amp; $G9 &amp; "!$B$4"):INDIRECT("s" &amp; $G9 &amp; "!$Z$4"))-(INDIRECT("s" &amp; $G9 &amp; "!$B$3"): INDIRECT("s" &amp; $G9 &amp; "!$Z$3"))))</f>
        <v>0</v>
      </c>
      <c r="L9" s="3"/>
    </row>
    <row r="10" spans="1:12" x14ac:dyDescent="0.3">
      <c r="G10" s="44">
        <v>49</v>
      </c>
      <c r="H10" s="9">
        <f ca="1">SUMPRODUCT((INDIRECT("s" &amp; $G10 &amp; "!$B$" &amp; ($A$2+4)):INDIRECT("s" &amp; $G10 &amp; "!$Z$" &amp; ($A$2+4))="")*((INDIRECT("s" &amp; $G10 &amp; "!$B$4"):INDIRECT("s" &amp; $G10 &amp; "!$Z$4"))-(INDIRECT("s" &amp; $G10 &amp; "!$B$3"): INDIRECT("s" &amp; $G10 &amp; "!$Z$3"))))</f>
        <v>36</v>
      </c>
      <c r="I10" s="9">
        <f ca="1">SUMPRODUCT((INDIRECT("s" &amp; $G10 &amp; "!$B$" &amp; ($A$2+4)):INDIRECT("s" &amp; $G10 &amp; "!$Z$" &amp; ($A$2+4))="J")*((INDIRECT("s" &amp; $G10 &amp; "!$B$4"):INDIRECT("s" &amp; $G10 &amp; "!$Z$4"))-(INDIRECT("s" &amp; $G10 &amp; "!$B$3"): INDIRECT("s" &amp; $G10 &amp; "!$Z$3"))))</f>
        <v>0</v>
      </c>
      <c r="J10" s="3">
        <f ca="1">SUMPRODUCT((INDIRECT("s" &amp; $G10 &amp; "!$B$" &amp; ($A$2+4)):INDIRECT("s" &amp; $G10 &amp; "!$Z$" &amp; ($A$2+4))="E")*((INDIRECT("s" &amp; $G10 &amp; "!$B$4"):INDIRECT("s" &amp; $G10 &amp; "!$Z$4"))-(INDIRECT("s" &amp; $G10 &amp; "!$B$3"): INDIRECT("s" &amp; $G10 &amp; "!$Z$3"))))</f>
        <v>0</v>
      </c>
      <c r="K10">
        <f ca="1">SUMPRODUCT((INDIRECT("s" &amp; $G10 &amp; "!$B$" &amp; ($A$2+4)):INDIRECT("s" &amp; $G10 &amp; "!$Z$" &amp; ($A$2+4))="A")*((INDIRECT("s" &amp; $G10 &amp; "!$B$4"):INDIRECT("s" &amp; $G10 &amp; "!$Z$4"))-(INDIRECT("s" &amp; $G10 &amp; "!$B$3"): INDIRECT("s" &amp; $G10 &amp; "!$Z$3"))))</f>
        <v>0</v>
      </c>
      <c r="L10" s="3"/>
    </row>
    <row r="11" spans="1:12" x14ac:dyDescent="0.3">
      <c r="G11" s="44">
        <v>50</v>
      </c>
      <c r="H11" s="9">
        <f ca="1">SUMPRODUCT((INDIRECT("s" &amp; $G11 &amp; "!$B$" &amp; ($A$2+4)):INDIRECT("s" &amp; $G11 &amp; "!$Z$" &amp; ($A$2+4))="")*((INDIRECT("s" &amp; $G11 &amp; "!$B$4"):INDIRECT("s" &amp; $G11 &amp; "!$Z$4"))-(INDIRECT("s" &amp; $G11 &amp; "!$B$3"): INDIRECT("s" &amp; $G11 &amp; "!$Z$3"))))</f>
        <v>25</v>
      </c>
      <c r="I11" s="9">
        <f ca="1">SUMPRODUCT((INDIRECT("s" &amp; $G11 &amp; "!$B$" &amp; ($A$2+4)):INDIRECT("s" &amp; $G11 &amp; "!$Z$" &amp; ($A$2+4))="J")*((INDIRECT("s" &amp; $G11 &amp; "!$B$4"):INDIRECT("s" &amp; $G11 &amp; "!$Z$4"))-(INDIRECT("s" &amp; $G11 &amp; "!$B$3"): INDIRECT("s" &amp; $G11 &amp; "!$Z$3"))))</f>
        <v>0</v>
      </c>
      <c r="J11" s="3">
        <f ca="1">SUMPRODUCT((INDIRECT("s" &amp; $G11 &amp; "!$B$" &amp; ($A$2+4)):INDIRECT("s" &amp; $G11 &amp; "!$Z$" &amp; ($A$2+4))="E")*((INDIRECT("s" &amp; $G11 &amp; "!$B$4"):INDIRECT("s" &amp; $G11 &amp; "!$Z$4"))-(INDIRECT("s" &amp; $G11 &amp; "!$B$3"): INDIRECT("s" &amp; $G11 &amp; "!$Z$3"))))</f>
        <v>8</v>
      </c>
      <c r="K11">
        <f ca="1">SUMPRODUCT((INDIRECT("s" &amp; $G11 &amp; "!$B$" &amp; ($A$2+4)):INDIRECT("s" &amp; $G11 &amp; "!$Z$" &amp; ($A$2+4))="A")*((INDIRECT("s" &amp; $G11 &amp; "!$B$4"):INDIRECT("s" &amp; $G11 &amp; "!$Z$4"))-(INDIRECT("s" &amp; $G11 &amp; "!$B$3"): INDIRECT("s" &amp; $G11 &amp; "!$Z$3"))))</f>
        <v>0</v>
      </c>
      <c r="L11" s="3"/>
    </row>
    <row r="12" spans="1:12" x14ac:dyDescent="0.3">
      <c r="G12" s="44">
        <v>1</v>
      </c>
      <c r="H12" s="9">
        <f ca="1">SUMPRODUCT((INDIRECT("s" &amp; $G12 &amp; "!$B$" &amp; ($A$2+4)):INDIRECT("s" &amp; $G12 &amp; "!$Z$" &amp; ($A$2+4))="")*((INDIRECT("s" &amp; $G12 &amp; "!$B$4"):INDIRECT("s" &amp; $G12 &amp; "!$Z$4"))-(INDIRECT("s" &amp; $G12 &amp; "!$B$3"): INDIRECT("s" &amp; $G12 &amp; "!$Z$3"))))</f>
        <v>29.5</v>
      </c>
      <c r="I12" s="9">
        <f ca="1">SUMPRODUCT((INDIRECT("s" &amp; $G12 &amp; "!$B$" &amp; ($A$2+4)):INDIRECT("s" &amp; $G12 &amp; "!$Z$" &amp; ($A$2+4))="J")*((INDIRECT("s" &amp; $G12 &amp; "!$B$4"):INDIRECT("s" &amp; $G12 &amp; "!$Z$4"))-(INDIRECT("s" &amp; $G12 &amp; "!$B$3"): INDIRECT("s" &amp; $G12 &amp; "!$Z$3"))))</f>
        <v>0</v>
      </c>
      <c r="J12" s="3">
        <f ca="1">SUMPRODUCT((INDIRECT("s" &amp; $G12 &amp; "!$B$" &amp; ($A$2+4)):INDIRECT("s" &amp; $G12 &amp; "!$Z$" &amp; ($A$2+4))="E")*((INDIRECT("s" &amp; $G12 &amp; "!$B$4"):INDIRECT("s" &amp; $G12 &amp; "!$Z$4"))-(INDIRECT("s" &amp; $G12 &amp; "!$B$3"): INDIRECT("s" &amp; $G12 &amp; "!$Z$3"))))</f>
        <v>0</v>
      </c>
      <c r="K12">
        <f ca="1">SUMPRODUCT((INDIRECT("s" &amp; $G12 &amp; "!$B$" &amp; ($A$2+4)):INDIRECT("s" &amp; $G12 &amp; "!$Z$" &amp; ($A$2+4))="A")*((INDIRECT("s" &amp; $G12 &amp; "!$B$4"):INDIRECT("s" &amp; $G12 &amp; "!$Z$4"))-(INDIRECT("s" &amp; $G12 &amp; "!$B$3"): INDIRECT("s" &amp; $G12 &amp; "!$Z$3"))))</f>
        <v>0</v>
      </c>
      <c r="L12" s="3"/>
    </row>
    <row r="13" spans="1:12" x14ac:dyDescent="0.3">
      <c r="G13" s="44">
        <v>2</v>
      </c>
      <c r="H13" s="9">
        <f ca="1">SUMPRODUCT((INDIRECT("s" &amp; $G13 &amp; "!$B$" &amp; ($A$2+4)):INDIRECT("s" &amp; $G13 &amp; "!$Z$" &amp; ($A$2+4))="")*((INDIRECT("s" &amp; $G13 &amp; "!$B$4"):INDIRECT("s" &amp; $G13 &amp; "!$Z$4"))-(INDIRECT("s" &amp; $G13 &amp; "!$B$3"): INDIRECT("s" &amp; $G13 &amp; "!$Z$3"))))</f>
        <v>35.5</v>
      </c>
      <c r="I13" s="9">
        <f ca="1">SUMPRODUCT((INDIRECT("s" &amp; $G13 &amp; "!$B$" &amp; ($A$2+4)):INDIRECT("s" &amp; $G13 &amp; "!$Z$" &amp; ($A$2+4))="J")*((INDIRECT("s" &amp; $G13 &amp; "!$B$4"):INDIRECT("s" &amp; $G13 &amp; "!$Z$4"))-(INDIRECT("s" &amp; $G13 &amp; "!$B$3"): INDIRECT("s" &amp; $G13 &amp; "!$Z$3"))))</f>
        <v>0</v>
      </c>
      <c r="J13" s="3">
        <f ca="1">SUMPRODUCT((INDIRECT("s" &amp; $G13 &amp; "!$B$" &amp; ($A$2+4)):INDIRECT("s" &amp; $G13 &amp; "!$Z$" &amp; ($A$2+4))="E")*((INDIRECT("s" &amp; $G13 &amp; "!$B$4"):INDIRECT("s" &amp; $G13 &amp; "!$Z$4"))-(INDIRECT("s" &amp; $G13 &amp; "!$B$3"): INDIRECT("s" &amp; $G13 &amp; "!$Z$3"))))</f>
        <v>0</v>
      </c>
      <c r="K13">
        <f ca="1">SUMPRODUCT((INDIRECT("s" &amp; $G13 &amp; "!$B$" &amp; ($A$2+4)):INDIRECT("s" &amp; $G13 &amp; "!$Z$" &amp; ($A$2+4))="A")*((INDIRECT("s" &amp; $G13 &amp; "!$B$4"):INDIRECT("s" &amp; $G13 &amp; "!$Z$4"))-(INDIRECT("s" &amp; $G13 &amp; "!$B$3"): INDIRECT("s" &amp; $G13 &amp; "!$Z$3"))))</f>
        <v>0</v>
      </c>
      <c r="L13" s="3"/>
    </row>
    <row r="14" spans="1:12" x14ac:dyDescent="0.3">
      <c r="G14" s="44">
        <v>5</v>
      </c>
      <c r="H14" s="9">
        <f ca="1">SUMPRODUCT((INDIRECT("s" &amp; $G14 &amp; "!$B$" &amp; ($A$2+4)):INDIRECT("s" &amp; $G14 &amp; "!$Z$" &amp; ($A$2+4))="")*((INDIRECT("s" &amp; $G14 &amp; "!$B$4"):INDIRECT("s" &amp; $G14 &amp; "!$Z$4"))-(INDIRECT("s" &amp; $G14 &amp; "!$B$3"): INDIRECT("s" &amp; $G14 &amp; "!$Z$3"))))</f>
        <v>33</v>
      </c>
      <c r="I14" s="9">
        <f ca="1">SUMPRODUCT((INDIRECT("s" &amp; $G14 &amp; "!$B$" &amp; ($A$2+4)):INDIRECT("s" &amp; $G14 &amp; "!$Z$" &amp; ($A$2+4))="J")*((INDIRECT("s" &amp; $G14 &amp; "!$B$4"):INDIRECT("s" &amp; $G14 &amp; "!$Z$4"))-(INDIRECT("s" &amp; $G14 &amp; "!$B$3"): INDIRECT("s" &amp; $G14 &amp; "!$Z$3"))))</f>
        <v>0</v>
      </c>
      <c r="J14" s="3">
        <f ca="1">SUMPRODUCT((INDIRECT("s" &amp; $G14 &amp; "!$B$" &amp; ($A$2+4)):INDIRECT("s" &amp; $G14 &amp; "!$Z$" &amp; ($A$2+4))="E")*((INDIRECT("s" &amp; $G14 &amp; "!$B$4"):INDIRECT("s" &amp; $G14 &amp; "!$Z$4"))-(INDIRECT("s" &amp; $G14 &amp; "!$B$3"): INDIRECT("s" &amp; $G14 &amp; "!$Z$3"))))</f>
        <v>0</v>
      </c>
      <c r="K14">
        <f ca="1">SUMPRODUCT((INDIRECT("s" &amp; $G14 &amp; "!$B$" &amp; ($A$2+4)):INDIRECT("s" &amp; $G14 &amp; "!$Z$" &amp; ($A$2+4))="A")*((INDIRECT("s" &amp; $G14 &amp; "!$B$4"):INDIRECT("s" &amp; $G14 &amp; "!$Z$4"))-(INDIRECT("s" &amp; $G14 &amp; "!$B$3"): INDIRECT("s" &amp; $G14 &amp; "!$Z$3"))))</f>
        <v>4</v>
      </c>
      <c r="L14" s="3"/>
    </row>
    <row r="15" spans="1:12" x14ac:dyDescent="0.3">
      <c r="G15" s="44">
        <v>6</v>
      </c>
      <c r="H15" s="9">
        <f ca="1">SUMPRODUCT((INDIRECT("s" &amp; $G15 &amp; "!$B$" &amp; ($A$2+4)):INDIRECT("s" &amp; $G15 &amp; "!$Z$" &amp; ($A$2+4))="")*((INDIRECT("s" &amp; $G15 &amp; "!$B$4"):INDIRECT("s" &amp; $G15 &amp; "!$Z$4"))-(INDIRECT("s" &amp; $G15 &amp; "!$B$3"): INDIRECT("s" &amp; $G15 &amp; "!$Z$3"))))</f>
        <v>33</v>
      </c>
      <c r="I15" s="9">
        <f ca="1">SUMPRODUCT((INDIRECT("s" &amp; $G15 &amp; "!$B$" &amp; ($A$2+4)):INDIRECT("s" &amp; $G15 &amp; "!$Z$" &amp; ($A$2+4))="J")*((INDIRECT("s" &amp; $G15 &amp; "!$B$4"):INDIRECT("s" &amp; $G15 &amp; "!$Z$4"))-(INDIRECT("s" &amp; $G15 &amp; "!$B$3"): INDIRECT("s" &amp; $G15 &amp; "!$Z$3"))))</f>
        <v>0</v>
      </c>
      <c r="J15" s="3">
        <f ca="1">SUMPRODUCT((INDIRECT("s" &amp; $G15 &amp; "!$B$" &amp; ($A$2+4)):INDIRECT("s" &amp; $G15 &amp; "!$Z$" &amp; ($A$2+4))="E")*((INDIRECT("s" &amp; $G15 &amp; "!$B$4"):INDIRECT("s" &amp; $G15 &amp; "!$Z$4"))-(INDIRECT("s" &amp; $G15 &amp; "!$B$3"): INDIRECT("s" &amp; $G15 &amp; "!$Z$3"))))</f>
        <v>0</v>
      </c>
      <c r="K15">
        <f ca="1">SUMPRODUCT((INDIRECT("s" &amp; $G15 &amp; "!$B$" &amp; ($A$2+4)):INDIRECT("s" &amp; $G15 &amp; "!$Z$" &amp; ($A$2+4))="A")*((INDIRECT("s" &amp; $G15 &amp; "!$B$4"):INDIRECT("s" &amp; $G15 &amp; "!$Z$4"))-(INDIRECT("s" &amp; $G15 &amp; "!$B$3"): INDIRECT("s" &amp; $G15 &amp; "!$Z$3"))))</f>
        <v>0</v>
      </c>
      <c r="L15" s="3"/>
    </row>
    <row r="16" spans="1:12" x14ac:dyDescent="0.3">
      <c r="G16" s="44">
        <v>11</v>
      </c>
      <c r="H16" s="9">
        <f ca="1">SUMPRODUCT((INDIRECT("s" &amp; $G16 &amp; "!$B$" &amp; ($A$2+4)):INDIRECT("s" &amp; $G16 &amp; "!$Z$" &amp; ($A$2+4))="")*((INDIRECT("s" &amp; $G16 &amp; "!$B$4"):INDIRECT("s" &amp; $G16 &amp; "!$Z$4"))-(INDIRECT("s" &amp; $G16 &amp; "!$B$3"): INDIRECT("s" &amp; $G16 &amp; "!$Z$3"))))</f>
        <v>24</v>
      </c>
      <c r="I16" s="9">
        <f ca="1">SUMPRODUCT((INDIRECT("s" &amp; $G16 &amp; "!$B$" &amp; ($A$2+4)):INDIRECT("s" &amp; $G16 &amp; "!$Z$" &amp; ($A$2+4))="J")*((INDIRECT("s" &amp; $G16 &amp; "!$B$4"):INDIRECT("s" &amp; $G16 &amp; "!$Z$4"))-(INDIRECT("s" &amp; $G16 &amp; "!$B$3"): INDIRECT("s" &amp; $G16 &amp; "!$Z$3"))))</f>
        <v>0</v>
      </c>
      <c r="J16" s="3">
        <f ca="1">SUMPRODUCT((INDIRECT("s" &amp; $G16 &amp; "!$B$" &amp; ($A$2+4)):INDIRECT("s" &amp; $G16 &amp; "!$Z$" &amp; ($A$2+4))="E")*((INDIRECT("s" &amp; $G16 &amp; "!$B$4"):INDIRECT("s" &amp; $G16 &amp; "!$Z$4"))-(INDIRECT("s" &amp; $G16 &amp; "!$B$3"): INDIRECT("s" &amp; $G16 &amp; "!$Z$3"))))</f>
        <v>9</v>
      </c>
      <c r="K16">
        <f ca="1">SUMPRODUCT((INDIRECT("s" &amp; $G16 &amp; "!$B$" &amp; ($A$2+4)):INDIRECT("s" &amp; $G16 &amp; "!$Z$" &amp; ($A$2+4))="A")*((INDIRECT("s" &amp; $G16 &amp; "!$B$4"):INDIRECT("s" &amp; $G16 &amp; "!$Z$4"))-(INDIRECT("s" &amp; $G16 &amp; "!$B$3"): INDIRECT("s" &amp; $G16 &amp; "!$Z$3"))))</f>
        <v>2</v>
      </c>
      <c r="L16" s="3"/>
    </row>
    <row r="17" spans="1:13" x14ac:dyDescent="0.3">
      <c r="G17" s="44">
        <v>12</v>
      </c>
      <c r="H17" s="9">
        <f ca="1">SUMPRODUCT((INDIRECT("s" &amp; $G17 &amp; "!$B$" &amp; ($A$2+4)):INDIRECT("s" &amp; $G17 &amp; "!$Z$" &amp; ($A$2+4))="")*((INDIRECT("s" &amp; $G17 &amp; "!$B$4"):INDIRECT("s" &amp; $G17 &amp; "!$Z$4"))-(INDIRECT("s" &amp; $G17 &amp; "!$B$3"): INDIRECT("s" &amp; $G17 &amp; "!$Z$3"))))</f>
        <v>18</v>
      </c>
      <c r="I17" s="9">
        <f ca="1">SUMPRODUCT((INDIRECT("s" &amp; $G17 &amp; "!$B$" &amp; ($A$2+4)):INDIRECT("s" &amp; $G17 &amp; "!$Z$" &amp; ($A$2+4))="J")*((INDIRECT("s" &amp; $G17 &amp; "!$B$4"):INDIRECT("s" &amp; $G17 &amp; "!$Z$4"))-(INDIRECT("s" &amp; $G17 &amp; "!$B$3"): INDIRECT("s" &amp; $G17 &amp; "!$Z$3"))))</f>
        <v>0</v>
      </c>
      <c r="J17" s="3">
        <f ca="1">SUMPRODUCT((INDIRECT("s" &amp; $G17 &amp; "!$B$" &amp; ($A$2+4)):INDIRECT("s" &amp; $G17 &amp; "!$Z$" &amp; ($A$2+4))="E")*((INDIRECT("s" &amp; $G17 &amp; "!$B$4"):INDIRECT("s" &amp; $G17 &amp; "!$Z$4"))-(INDIRECT("s" &amp; $G17 &amp; "!$B$3"): INDIRECT("s" &amp; $G17 &amp; "!$Z$3"))))</f>
        <v>5</v>
      </c>
      <c r="K17">
        <f ca="1">SUMPRODUCT((INDIRECT("s" &amp; $G17 &amp; "!$B$" &amp; ($A$2+4)):INDIRECT("s" &amp; $G17 &amp; "!$Z$" &amp; ($A$2+4))="A")*((INDIRECT("s" &amp; $G17 &amp; "!$B$4"):INDIRECT("s" &amp; $G17 &amp; "!$Z$4"))-(INDIRECT("s" &amp; $G17 &amp; "!$B$3"): INDIRECT("s" &amp; $G17 &amp; "!$Z$3"))))</f>
        <v>2</v>
      </c>
      <c r="L17" s="3"/>
    </row>
    <row r="18" spans="1:13" x14ac:dyDescent="0.3">
      <c r="A18" s="65" t="s">
        <v>54</v>
      </c>
      <c r="B18" s="66"/>
      <c r="D18" s="67" t="s">
        <v>56</v>
      </c>
      <c r="E18" s="67"/>
      <c r="G18" s="45">
        <v>13</v>
      </c>
      <c r="H18" s="9">
        <f ca="1">SUMPRODUCT((INDIRECT("s" &amp; $G18 &amp; "!$B$" &amp; ($A$2+4)):INDIRECT("s" &amp; $G18 &amp; "!$Z$" &amp; ($A$2+4))="")*((INDIRECT("s" &amp; $G18 &amp; "!$B$4"):INDIRECT("s" &amp; $G18 &amp; "!$Z$4"))-(INDIRECT("s" &amp; $G18 &amp; "!$B$3"): INDIRECT("s" &amp; $G18 &amp; "!$Z$3"))))</f>
        <v>31.5</v>
      </c>
      <c r="I18" s="9">
        <f ca="1">SUMPRODUCT((INDIRECT("s" &amp; $G18 &amp; "!$B$" &amp; ($A$2+4)):INDIRECT("s" &amp; $G18 &amp; "!$Z$" &amp; ($A$2+4))="J")*((INDIRECT("s" &amp; $G18 &amp; "!$B$4"):INDIRECT("s" &amp; $G18 &amp; "!$Z$4"))-(INDIRECT("s" &amp; $G18 &amp; "!$B$3"): INDIRECT("s" &amp; $G18 &amp; "!$Z$3"))))</f>
        <v>0</v>
      </c>
      <c r="J18" s="3">
        <f ca="1">SUMPRODUCT((INDIRECT("s" &amp; $G18 &amp; "!$B$" &amp; ($A$2+4)):INDIRECT("s" &amp; $G18 &amp; "!$Z$" &amp; ($A$2+4))="E")*((INDIRECT("s" &amp; $G18 &amp; "!$B$4"):INDIRECT("s" &amp; $G18 &amp; "!$Z$4"))-(INDIRECT("s" &amp; $G18 &amp; "!$B$3"): INDIRECT("s" &amp; $G18 &amp; "!$Z$3"))))</f>
        <v>0</v>
      </c>
      <c r="K18">
        <f ca="1">SUMPRODUCT((INDIRECT("s" &amp; $G18 &amp; "!$B$" &amp; ($A$2+4)):INDIRECT("s" &amp; $G18 &amp; "!$Z$" &amp; ($A$2+4))="A")*((INDIRECT("s" &amp; $G18 &amp; "!$B$4"):INDIRECT("s" &amp; $G18 &amp; "!$Z$4"))-(INDIRECT("s" &amp; $G18 &amp; "!$B$3"): INDIRECT("s" &amp; $G18 &amp; "!$Z$3"))))</f>
        <v>0</v>
      </c>
    </row>
    <row r="19" spans="1:13" x14ac:dyDescent="0.3">
      <c r="A19" s="47" t="s">
        <v>55</v>
      </c>
      <c r="D19" s="47" t="s">
        <v>55</v>
      </c>
      <c r="G19" s="45">
        <v>18</v>
      </c>
      <c r="H19" s="9">
        <f ca="1">SUMPRODUCT((INDIRECT("s" &amp; $G19 &amp; "!$B$" &amp; ($A$2+4)):INDIRECT("s" &amp; $G19 &amp; "!$Z$" &amp; ($A$2+4))="")*((INDIRECT("s" &amp; $G19 &amp; "!$B$4"):INDIRECT("s" &amp; $G19 &amp; "!$Z$4"))-(INDIRECT("s" &amp; $G19 &amp; "!$B$3"): INDIRECT("s" &amp; $G19 &amp; "!$Z$3"))))</f>
        <v>24</v>
      </c>
      <c r="I19" s="9">
        <f ca="1">SUMPRODUCT((INDIRECT("s" &amp; $G19 &amp; "!$B$" &amp; ($A$2+4)):INDIRECT("s" &amp; $G19 &amp; "!$Z$" &amp; ($A$2+4))="J")*((INDIRECT("s" &amp; $G19 &amp; "!$B$4"):INDIRECT("s" &amp; $G19 &amp; "!$Z$4"))-(INDIRECT("s" &amp; $G19 &amp; "!$B$3"): INDIRECT("s" &amp; $G19 &amp; "!$Z$3"))))</f>
        <v>0</v>
      </c>
      <c r="J19" s="3">
        <f ca="1">SUMPRODUCT((INDIRECT("s" &amp; $G19 &amp; "!$B$" &amp; ($A$2+4)):INDIRECT("s" &amp; $G19 &amp; "!$Z$" &amp; ($A$2+4))="E")*((INDIRECT("s" &amp; $G19 &amp; "!$B$4"):INDIRECT("s" &amp; $G19 &amp; "!$Z$4"))-(INDIRECT("s" &amp; $G19 &amp; "!$B$3"): INDIRECT("s" &amp; $G19 &amp; "!$Z$3"))))</f>
        <v>0</v>
      </c>
      <c r="K19">
        <f ca="1">SUMPRODUCT((INDIRECT("s" &amp; $G19 &amp; "!$B$" &amp; ($A$2+4)):INDIRECT("s" &amp; $G19 &amp; "!$Z$" &amp; ($A$2+4))="A")*((INDIRECT("s" &amp; $G19 &amp; "!$B$4"):INDIRECT("s" &amp; $G19 &amp; "!$Z$4"))-(INDIRECT("s" &amp; $G19 &amp; "!$B$3"): INDIRECT("s" &amp; $G19 &amp; "!$Z$3"))))</f>
        <v>0</v>
      </c>
      <c r="L19" s="3"/>
    </row>
    <row r="20" spans="1:13" x14ac:dyDescent="0.3">
      <c r="A20" s="5">
        <v>0</v>
      </c>
      <c r="B20" s="5">
        <f ca="1">SUM(I22:K22)/SUM(H22:K22)</f>
        <v>5.4844606946983544E-2</v>
      </c>
      <c r="D20" s="6">
        <v>0.04</v>
      </c>
      <c r="E20" s="5">
        <f ca="1">K22/SUM($H$22:$K$22)</f>
        <v>1.4625228519195612E-2</v>
      </c>
      <c r="G20" s="45">
        <v>19</v>
      </c>
      <c r="H20" s="9">
        <f ca="1">SUMPRODUCT((INDIRECT("s" &amp; $G20 &amp; "!$B$" &amp; ($A$2+4)):INDIRECT("s" &amp; $G20 &amp; "!$Z$" &amp; ($A$2+4))="")*((INDIRECT("s" &amp; $G20 &amp; "!$B$4"):INDIRECT("s" &amp; $G20 &amp; "!$Z$4"))-(INDIRECT("s" &amp; $G20 &amp; "!$B$3"): INDIRECT("s" &amp; $G20 &amp; "!$Z$3"))))</f>
        <v>25</v>
      </c>
      <c r="I20" s="9">
        <f ca="1">SUMPRODUCT((INDIRECT("s" &amp; $G20 &amp; "!$B$" &amp; ($A$2+4)):INDIRECT("s" &amp; $G20 &amp; "!$Z$" &amp; ($A$2+4))="J")*((INDIRECT("s" &amp; $G20 &amp; "!$B$4"):INDIRECT("s" &amp; $G20 &amp; "!$Z$4"))-(INDIRECT("s" &amp; $G20 &amp; "!$B$3"): INDIRECT("s" &amp; $G20 &amp; "!$Z$3"))))</f>
        <v>0</v>
      </c>
      <c r="J20" s="3">
        <f ca="1">SUMPRODUCT((INDIRECT("s" &amp; $G20 &amp; "!$B$" &amp; ($A$2+4)):INDIRECT("s" &amp; $G20 &amp; "!$Z$" &amp; ($A$2+4))="E")*((INDIRECT("s" &amp; $G20 &amp; "!$B$4"):INDIRECT("s" &amp; $G20 &amp; "!$Z$4"))-(INDIRECT("s" &amp; $G20 &amp; "!$B$3"): INDIRECT("s" &amp; $G20 &amp; "!$Z$3"))))</f>
        <v>0</v>
      </c>
      <c r="K20">
        <f ca="1">SUMPRODUCT((INDIRECT("s" &amp; $G20 &amp; "!$B$" &amp; ($A$2+4)):INDIRECT("s" &amp; $G20 &amp; "!$Z$" &amp; ($A$2+4))="A")*((INDIRECT("s" &amp; $G20 &amp; "!$B$4"):INDIRECT("s" &amp; $G20 &amp; "!$Z$4"))-(INDIRECT("s" &amp; $G20 &amp; "!$B$3"): INDIRECT("s" &amp; $G20 &amp; "!$Z$3"))))</f>
        <v>0</v>
      </c>
      <c r="L20" s="3"/>
    </row>
    <row r="21" spans="1:13" x14ac:dyDescent="0.3">
      <c r="A21" s="46">
        <v>0.04</v>
      </c>
      <c r="B21" s="5">
        <f ca="1">B22-B20</f>
        <v>0.94515539305301643</v>
      </c>
      <c r="D21" s="6">
        <f>100%-D20</f>
        <v>0.96</v>
      </c>
      <c r="E21" s="5">
        <f ca="1">J22/SUM($H$22:$K$22)</f>
        <v>4.0219378427787937E-2</v>
      </c>
      <c r="G21" s="45">
        <v>20</v>
      </c>
      <c r="H21" s="9">
        <f ca="1">SUMPRODUCT((INDIRECT("s" &amp; $G21 &amp; "!$B$" &amp; ($A$2+4)):INDIRECT("s" &amp; $G21 &amp; "!$Z$" &amp; ($A$2+4))="")*((INDIRECT("s" &amp; $G21 &amp; "!$B$4"):INDIRECT("s" &amp; $G21 &amp; "!$Z$4"))-(INDIRECT("s" &amp; $G21 &amp; "!$B$3"): INDIRECT("s" &amp; $G21 &amp; "!$Z$3"))))</f>
        <v>26</v>
      </c>
      <c r="I21" s="9">
        <f ca="1">SUMPRODUCT((INDIRECT("s" &amp; $G21 &amp; "!$B$" &amp; ($A$2+4)):INDIRECT("s" &amp; $G21 &amp; "!$Z$" &amp; ($A$2+4))="J")*((INDIRECT("s" &amp; $G21 &amp; "!$B$4"):INDIRECT("s" &amp; $G21 &amp; "!$Z$4"))-(INDIRECT("s" &amp; $G21 &amp; "!$B$3"): INDIRECT("s" &amp; $G21 &amp; "!$Z$3"))))</f>
        <v>0</v>
      </c>
      <c r="J21" s="3">
        <f ca="1">SUMPRODUCT((INDIRECT("s" &amp; $G21 &amp; "!$B$" &amp; ($A$2+4)):INDIRECT("s" &amp; $G21 &amp; "!$Z$" &amp; ($A$2+4))="E")*((INDIRECT("s" &amp; $G21 &amp; "!$B$4"):INDIRECT("s" &amp; $G21 &amp; "!$Z$4"))-(INDIRECT("s" &amp; $G21 &amp; "!$B$3"): INDIRECT("s" &amp; $G21 &amp; "!$Z$3"))))</f>
        <v>0</v>
      </c>
      <c r="K21">
        <f ca="1">SUMPRODUCT((INDIRECT("s" &amp; $G21 &amp; "!$B$" &amp; ($A$2+4)):INDIRECT("s" &amp; $G21 &amp; "!$Z$" &amp; ($A$2+4))="A")*((INDIRECT("s" &amp; $G21 &amp; "!$B$4"):INDIRECT("s" &amp; $G21 &amp; "!$Z$4"))-(INDIRECT("s" &amp; $G21 &amp; "!$B$3"): INDIRECT("s" &amp; $G21 &amp; "!$Z$3"))))</f>
        <v>0</v>
      </c>
      <c r="L21" s="3"/>
    </row>
    <row r="22" spans="1:13" x14ac:dyDescent="0.3">
      <c r="A22" s="5">
        <f>A23-A21</f>
        <v>0.96</v>
      </c>
      <c r="B22" s="5">
        <v>1</v>
      </c>
      <c r="E22" s="5">
        <f ca="1">I22/SUM($H$22:$K$22)</f>
        <v>0</v>
      </c>
      <c r="H22" s="48">
        <f ca="1">SUM(H2:H21)</f>
        <v>517</v>
      </c>
      <c r="I22" s="48">
        <f ca="1">SUM(I2:I21)</f>
        <v>0</v>
      </c>
      <c r="J22" s="48">
        <f ca="1">SUM(J2:J21)</f>
        <v>22</v>
      </c>
      <c r="K22" s="48">
        <f ca="1">SUM(K2:K21)</f>
        <v>8</v>
      </c>
    </row>
    <row r="23" spans="1:13" x14ac:dyDescent="0.3">
      <c r="A23" s="5">
        <v>1</v>
      </c>
      <c r="D23" s="5"/>
      <c r="E23" s="5">
        <f ca="1">H22/SUM($H$22:$K$22)</f>
        <v>0.94515539305301643</v>
      </c>
    </row>
    <row r="32" spans="1:13" ht="15" thickBot="1" x14ac:dyDescent="0.35">
      <c r="M32" s="13"/>
    </row>
    <row r="33" spans="5:13" x14ac:dyDescent="0.3">
      <c r="I33" s="62" t="s">
        <v>48</v>
      </c>
      <c r="J33" s="63"/>
      <c r="K33" s="63"/>
      <c r="L33" s="64"/>
      <c r="M33" s="14"/>
    </row>
    <row r="34" spans="5:13" ht="15" thickBot="1" x14ac:dyDescent="0.35">
      <c r="G34" s="54" t="s">
        <v>57</v>
      </c>
      <c r="H34" s="52" t="s">
        <v>61</v>
      </c>
      <c r="I34" s="53" t="s">
        <v>52</v>
      </c>
      <c r="J34" s="11" t="s">
        <v>58</v>
      </c>
      <c r="K34" s="11" t="s">
        <v>59</v>
      </c>
      <c r="L34" s="12" t="s">
        <v>60</v>
      </c>
    </row>
    <row r="35" spans="5:13" x14ac:dyDescent="0.3">
      <c r="G35" s="50">
        <v>3.6</v>
      </c>
      <c r="H35" s="8" t="s">
        <v>8</v>
      </c>
      <c r="I35" s="50">
        <v>8</v>
      </c>
      <c r="J35" s="50">
        <v>9.5594736842105252</v>
      </c>
      <c r="K35" s="50">
        <v>1</v>
      </c>
      <c r="L35" s="3">
        <v>16.170000000000002</v>
      </c>
    </row>
    <row r="36" spans="5:13" x14ac:dyDescent="0.3">
      <c r="G36" s="50">
        <v>7</v>
      </c>
      <c r="H36" s="8" t="s">
        <v>10</v>
      </c>
      <c r="I36" s="50">
        <v>7.91</v>
      </c>
      <c r="J36" s="50">
        <v>8.6636842105263145</v>
      </c>
      <c r="K36" s="50">
        <v>1.86</v>
      </c>
      <c r="L36" s="3">
        <v>13.54</v>
      </c>
    </row>
    <row r="37" spans="5:13" x14ac:dyDescent="0.3">
      <c r="G37" s="50">
        <v>1.2</v>
      </c>
      <c r="H37" s="8" t="s">
        <v>15</v>
      </c>
      <c r="I37" s="50">
        <v>6.5</v>
      </c>
      <c r="J37" s="50">
        <v>10.184210526315789</v>
      </c>
      <c r="K37" s="50">
        <v>1.5</v>
      </c>
      <c r="L37" s="3">
        <v>19</v>
      </c>
    </row>
    <row r="38" spans="5:13" x14ac:dyDescent="0.3">
      <c r="G38" s="50">
        <v>4</v>
      </c>
      <c r="H38" s="8" t="s">
        <v>0</v>
      </c>
      <c r="I38" s="50">
        <v>17</v>
      </c>
      <c r="J38" s="50">
        <v>14</v>
      </c>
      <c r="K38" s="50">
        <v>11</v>
      </c>
      <c r="L38" s="3">
        <v>17</v>
      </c>
    </row>
    <row r="39" spans="5:13" x14ac:dyDescent="0.3">
      <c r="G39" s="50">
        <v>1.2</v>
      </c>
      <c r="H39" s="8" t="s">
        <v>14</v>
      </c>
      <c r="I39" s="50">
        <v>5.65</v>
      </c>
      <c r="J39" s="50">
        <v>7.5131578947368425</v>
      </c>
      <c r="K39" s="50">
        <v>0.5</v>
      </c>
      <c r="L39" s="3">
        <v>13.75</v>
      </c>
    </row>
    <row r="40" spans="5:13" x14ac:dyDescent="0.3">
      <c r="G40" s="50">
        <v>2</v>
      </c>
      <c r="H40" s="8" t="s">
        <v>5</v>
      </c>
      <c r="I40" s="50">
        <v>7.5</v>
      </c>
      <c r="J40" s="50">
        <v>11.618421052631579</v>
      </c>
      <c r="K40" s="50">
        <v>5.75</v>
      </c>
      <c r="L40" s="3">
        <v>15.75</v>
      </c>
    </row>
    <row r="41" spans="5:13" x14ac:dyDescent="0.3">
      <c r="G41" s="50">
        <v>7</v>
      </c>
      <c r="H41" s="8" t="s">
        <v>12</v>
      </c>
      <c r="I41" s="50">
        <v>5.25</v>
      </c>
      <c r="J41" s="50">
        <v>10.427894736842106</v>
      </c>
      <c r="K41" s="50">
        <v>4</v>
      </c>
      <c r="L41" s="3">
        <v>15.63</v>
      </c>
    </row>
    <row r="42" spans="5:13" x14ac:dyDescent="0.3">
      <c r="G42" s="50">
        <v>7</v>
      </c>
      <c r="H42" s="8" t="s">
        <v>11</v>
      </c>
      <c r="I42" s="50">
        <v>19.079999999999998</v>
      </c>
      <c r="J42" s="50">
        <v>12.656842105263154</v>
      </c>
      <c r="K42" s="50">
        <v>2.82</v>
      </c>
      <c r="L42" s="3">
        <v>19.079999999999998</v>
      </c>
    </row>
    <row r="43" spans="5:13" x14ac:dyDescent="0.3">
      <c r="G43" s="50">
        <v>8</v>
      </c>
      <c r="H43" s="8" t="s">
        <v>4</v>
      </c>
      <c r="I43" s="50">
        <v>15.5</v>
      </c>
      <c r="J43" s="50">
        <v>11.263157894736842</v>
      </c>
      <c r="K43" s="50">
        <v>0</v>
      </c>
      <c r="L43" s="3">
        <v>17.5</v>
      </c>
    </row>
    <row r="44" spans="5:13" x14ac:dyDescent="0.3">
      <c r="G44" s="50">
        <v>7</v>
      </c>
      <c r="H44" s="8" t="s">
        <v>13</v>
      </c>
      <c r="I44" s="50">
        <v>11.33</v>
      </c>
      <c r="J44" s="50">
        <v>11.280526315789476</v>
      </c>
      <c r="K44" s="50">
        <v>2.25</v>
      </c>
      <c r="L44" s="3">
        <v>17.920000000000002</v>
      </c>
    </row>
    <row r="45" spans="5:13" x14ac:dyDescent="0.3">
      <c r="E45" s="51"/>
      <c r="G45" s="50">
        <v>12</v>
      </c>
      <c r="H45" s="8" t="s">
        <v>47</v>
      </c>
      <c r="I45" s="50">
        <v>15.5</v>
      </c>
      <c r="J45" s="50">
        <v>12.236842105263158</v>
      </c>
      <c r="K45" s="50">
        <v>0</v>
      </c>
      <c r="L45" s="3">
        <v>19.5</v>
      </c>
    </row>
    <row r="46" spans="5:13" x14ac:dyDescent="0.3">
      <c r="G46" s="50"/>
      <c r="I46" s="50">
        <v>12.356166666666667</v>
      </c>
      <c r="J46" s="50">
        <v>11.217296491228071</v>
      </c>
      <c r="K46" s="50">
        <v>2.3001666666666667</v>
      </c>
      <c r="L46" s="3">
        <v>17.236700000000003</v>
      </c>
    </row>
    <row r="47" spans="5:13" x14ac:dyDescent="0.3">
      <c r="G47" s="50"/>
      <c r="I47" s="50"/>
      <c r="J47" s="50"/>
      <c r="K47" s="50"/>
      <c r="L47" s="3"/>
    </row>
    <row r="48" spans="5:13" x14ac:dyDescent="0.3">
      <c r="G48" s="50"/>
      <c r="I48" s="50"/>
      <c r="J48" s="50"/>
      <c r="K48" s="50"/>
      <c r="L48" s="3"/>
    </row>
    <row r="49" spans="6:19" x14ac:dyDescent="0.3">
      <c r="G49" s="50"/>
      <c r="I49" s="50"/>
      <c r="J49" s="50"/>
      <c r="K49" s="50"/>
      <c r="L49" s="3"/>
      <c r="M49" s="49"/>
    </row>
    <row r="50" spans="6:19" x14ac:dyDescent="0.3">
      <c r="I50" s="50"/>
    </row>
    <row r="52" spans="6:19" x14ac:dyDescent="0.3">
      <c r="P52" s="3"/>
    </row>
    <row r="56" spans="6:19" x14ac:dyDescent="0.3">
      <c r="F56" s="51"/>
    </row>
    <row r="58" spans="6:19" x14ac:dyDescent="0.3">
      <c r="P58" t="s">
        <v>62</v>
      </c>
    </row>
    <row r="60" spans="6:19" x14ac:dyDescent="0.3">
      <c r="I60" s="50"/>
    </row>
    <row r="61" spans="6:19" x14ac:dyDescent="0.3">
      <c r="P61" s="52" t="s">
        <v>63</v>
      </c>
      <c r="Q61" s="55">
        <f>8/20</f>
        <v>0.4</v>
      </c>
      <c r="R61" s="58">
        <v>0</v>
      </c>
      <c r="S61" s="55">
        <f>8/20</f>
        <v>0.4</v>
      </c>
    </row>
    <row r="62" spans="6:19" x14ac:dyDescent="0.3">
      <c r="P62" s="56" t="s">
        <v>64</v>
      </c>
      <c r="Q62" s="55">
        <f>2/20</f>
        <v>0.1</v>
      </c>
      <c r="R62" s="59">
        <v>0</v>
      </c>
      <c r="S62" s="55">
        <f>2/20</f>
        <v>0.1</v>
      </c>
    </row>
    <row r="63" spans="6:19" x14ac:dyDescent="0.3">
      <c r="P63" s="52" t="s">
        <v>65</v>
      </c>
      <c r="Q63" s="55">
        <f>2/20</f>
        <v>0.1</v>
      </c>
      <c r="R63" s="58">
        <v>0</v>
      </c>
      <c r="S63" s="55">
        <f>2/20</f>
        <v>0.1</v>
      </c>
    </row>
    <row r="64" spans="6:19" x14ac:dyDescent="0.3">
      <c r="P64" s="52" t="s">
        <v>66</v>
      </c>
      <c r="Q64" s="55">
        <f>2/20</f>
        <v>0.1</v>
      </c>
      <c r="R64" s="58">
        <v>12.356166666666667</v>
      </c>
      <c r="S64" s="55">
        <f>2/20</f>
        <v>0.1</v>
      </c>
    </row>
    <row r="65" spans="1:19" x14ac:dyDescent="0.3">
      <c r="P65" s="52" t="s">
        <v>67</v>
      </c>
      <c r="Q65" s="55">
        <f>2/20</f>
        <v>0.1</v>
      </c>
      <c r="R65" s="58">
        <v>0</v>
      </c>
      <c r="S65" s="55">
        <f>2/20</f>
        <v>0.1</v>
      </c>
    </row>
    <row r="66" spans="1:19" x14ac:dyDescent="0.3">
      <c r="P66" s="52" t="s">
        <v>68</v>
      </c>
      <c r="Q66" s="55">
        <f>4/20</f>
        <v>0.2</v>
      </c>
      <c r="R66" s="58">
        <v>0</v>
      </c>
      <c r="S66" s="55">
        <f>4/20</f>
        <v>0.2</v>
      </c>
    </row>
    <row r="67" spans="1:19" x14ac:dyDescent="0.3">
      <c r="R67" s="58">
        <f>R68-SUM(R61:R66)</f>
        <v>7.6438333333333333</v>
      </c>
      <c r="S67" s="57"/>
    </row>
    <row r="68" spans="1:19" x14ac:dyDescent="0.3">
      <c r="A68" s="52" t="s">
        <v>63</v>
      </c>
      <c r="B68" s="55">
        <f>8/20</f>
        <v>0.4</v>
      </c>
      <c r="C68" s="58">
        <v>0</v>
      </c>
      <c r="D68" s="55">
        <f>8/20</f>
        <v>0.4</v>
      </c>
      <c r="R68" s="61">
        <v>20</v>
      </c>
    </row>
    <row r="69" spans="1:19" x14ac:dyDescent="0.3">
      <c r="A69" s="56" t="s">
        <v>64</v>
      </c>
      <c r="B69" s="55">
        <f>2/20</f>
        <v>0.1</v>
      </c>
      <c r="C69" s="59">
        <v>0</v>
      </c>
      <c r="D69" s="55">
        <f>2/20</f>
        <v>0.1</v>
      </c>
    </row>
    <row r="70" spans="1:19" x14ac:dyDescent="0.3">
      <c r="A70" s="52" t="s">
        <v>65</v>
      </c>
      <c r="B70" s="55">
        <f>2/20</f>
        <v>0.1</v>
      </c>
      <c r="C70" s="58">
        <v>0</v>
      </c>
      <c r="D70" s="55">
        <f>2/20</f>
        <v>0.1</v>
      </c>
    </row>
    <row r="71" spans="1:19" x14ac:dyDescent="0.3">
      <c r="A71" s="52" t="s">
        <v>66</v>
      </c>
      <c r="B71" s="55">
        <f>2/20</f>
        <v>0.1</v>
      </c>
      <c r="C71" s="58">
        <v>12.356166666666667</v>
      </c>
      <c r="D71" s="55">
        <f>2/20</f>
        <v>0.1</v>
      </c>
    </row>
    <row r="72" spans="1:19" x14ac:dyDescent="0.3">
      <c r="A72" s="52" t="s">
        <v>67</v>
      </c>
      <c r="B72" s="55">
        <f>2/20</f>
        <v>0.1</v>
      </c>
      <c r="C72" s="58">
        <v>0</v>
      </c>
      <c r="D72" s="55">
        <f>2/20</f>
        <v>0.1</v>
      </c>
    </row>
    <row r="73" spans="1:19" x14ac:dyDescent="0.3">
      <c r="A73" s="52" t="s">
        <v>68</v>
      </c>
      <c r="B73" s="55">
        <f>4/20</f>
        <v>0.2</v>
      </c>
      <c r="C73" s="58">
        <v>0</v>
      </c>
      <c r="D73" s="55">
        <f>4/20</f>
        <v>0.2</v>
      </c>
    </row>
    <row r="74" spans="1:19" x14ac:dyDescent="0.3">
      <c r="A74" s="52" t="s">
        <v>69</v>
      </c>
      <c r="B74" s="57">
        <v>1</v>
      </c>
      <c r="C74" s="58">
        <f>C75-SUM(C68:C73)</f>
        <v>7.6438333333333333</v>
      </c>
      <c r="D74" s="57">
        <v>1</v>
      </c>
    </row>
    <row r="75" spans="1:19" x14ac:dyDescent="0.3">
      <c r="A75" s="60"/>
      <c r="C75" s="61">
        <v>20</v>
      </c>
      <c r="D75">
        <v>0</v>
      </c>
    </row>
    <row r="76" spans="1:19" x14ac:dyDescent="0.3">
      <c r="C76">
        <v>0</v>
      </c>
      <c r="D76">
        <v>0</v>
      </c>
    </row>
  </sheetData>
  <mergeCells count="3">
    <mergeCell ref="I33:L33"/>
    <mergeCell ref="A18:B18"/>
    <mergeCell ref="D18:E1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3" r:id="rId4" name="CheckBox4">
          <controlPr defaultSize="0" autoLine="0" r:id="rId5">
            <anchor moveWithCells="1">
              <from>
                <xdr:col>1</xdr:col>
                <xdr:colOff>15240</xdr:colOff>
                <xdr:row>45</xdr:row>
                <xdr:rowOff>53340</xdr:rowOff>
              </from>
              <to>
                <xdr:col>1</xdr:col>
                <xdr:colOff>175260</xdr:colOff>
                <xdr:row>46</xdr:row>
                <xdr:rowOff>68580</xdr:rowOff>
              </to>
            </anchor>
          </controlPr>
        </control>
      </mc:Choice>
      <mc:Fallback>
        <control shapeId="1063" r:id="rId4" name="CheckBox4"/>
      </mc:Fallback>
    </mc:AlternateContent>
    <mc:AlternateContent xmlns:mc="http://schemas.openxmlformats.org/markup-compatibility/2006">
      <mc:Choice Requires="x14">
        <control shapeId="1067" r:id="rId6" name="CheckBox1">
          <controlPr defaultSize="0" autoLine="0" r:id="rId5">
            <anchor moveWithCells="1">
              <from>
                <xdr:col>1</xdr:col>
                <xdr:colOff>7620</xdr:colOff>
                <xdr:row>42</xdr:row>
                <xdr:rowOff>106680</xdr:rowOff>
              </from>
              <to>
                <xdr:col>1</xdr:col>
                <xdr:colOff>167640</xdr:colOff>
                <xdr:row>43</xdr:row>
                <xdr:rowOff>121920</xdr:rowOff>
              </to>
            </anchor>
          </controlPr>
        </control>
      </mc:Choice>
      <mc:Fallback>
        <control shapeId="1067" r:id="rId6" name="CheckBox1"/>
      </mc:Fallback>
    </mc:AlternateContent>
    <mc:AlternateContent xmlns:mc="http://schemas.openxmlformats.org/markup-compatibility/2006">
      <mc:Choice Requires="x14">
        <control shapeId="1068" r:id="rId7" name="CheckBox2">
          <controlPr defaultSize="0" autoLine="0" r:id="rId8">
            <anchor moveWithCells="1">
              <from>
                <xdr:col>1</xdr:col>
                <xdr:colOff>7620</xdr:colOff>
                <xdr:row>43</xdr:row>
                <xdr:rowOff>167640</xdr:rowOff>
              </from>
              <to>
                <xdr:col>1</xdr:col>
                <xdr:colOff>152400</xdr:colOff>
                <xdr:row>45</xdr:row>
                <xdr:rowOff>0</xdr:rowOff>
              </to>
            </anchor>
          </controlPr>
        </control>
      </mc:Choice>
      <mc:Fallback>
        <control shapeId="1068" r:id="rId7" name="CheckBox2"/>
      </mc:Fallback>
    </mc:AlternateContent>
    <mc:AlternateContent xmlns:mc="http://schemas.openxmlformats.org/markup-compatibility/2006">
      <mc:Choice Requires="x14">
        <control shapeId="1029" r:id="rId9" name="Group Box 5">
          <controlPr defaultSize="0" autoFill="0" autoPict="0">
            <anchor moveWithCells="1">
              <from>
                <xdr:col>2</xdr:col>
                <xdr:colOff>152400</xdr:colOff>
                <xdr:row>0</xdr:row>
                <xdr:rowOff>99060</xdr:rowOff>
              </from>
              <to>
                <xdr:col>2</xdr:col>
                <xdr:colOff>2065020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Option Button 6">
          <controlPr defaultSize="0" autoFill="0" autoLine="0" autoPict="0" macro="[0]!graphique_barres">
            <anchor moveWithCells="1">
              <from>
                <xdr:col>2</xdr:col>
                <xdr:colOff>152400</xdr:colOff>
                <xdr:row>0</xdr:row>
                <xdr:rowOff>236220</xdr:rowOff>
              </from>
              <to>
                <xdr:col>2</xdr:col>
                <xdr:colOff>1013460</xdr:colOff>
                <xdr:row>1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1" name="Option Button 7">
          <controlPr defaultSize="0" autoFill="0" autoLine="0" autoPict="0" macro="[0]!graphique_aires">
            <anchor moveWithCells="1">
              <from>
                <xdr:col>2</xdr:col>
                <xdr:colOff>1150620</xdr:colOff>
                <xdr:row>0</xdr:row>
                <xdr:rowOff>182880</xdr:rowOff>
              </from>
              <to>
                <xdr:col>2</xdr:col>
                <xdr:colOff>1927860</xdr:colOff>
                <xdr:row>1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Drop Down 10">
          <controlPr defaultSize="0" autoLine="0" autoPict="0" macro="[0]!chercherNotes">
            <anchor moveWithCells="1">
              <from>
                <xdr:col>0</xdr:col>
                <xdr:colOff>7620</xdr:colOff>
                <xdr:row>1</xdr:row>
                <xdr:rowOff>22860</xdr:rowOff>
              </from>
              <to>
                <xdr:col>0</xdr:col>
                <xdr:colOff>1165860</xdr:colOff>
                <xdr:row>2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Drop Down 11">
          <controlPr defaultSize="0" autoLine="0" autoPict="0" macro="[0]!semaine_clic">
            <anchor moveWithCells="1">
              <from>
                <xdr:col>1</xdr:col>
                <xdr:colOff>0</xdr:colOff>
                <xdr:row>1</xdr:row>
                <xdr:rowOff>7620</xdr:rowOff>
              </from>
              <to>
                <xdr:col>1</xdr:col>
                <xdr:colOff>708660</xdr:colOff>
                <xdr:row>2</xdr:row>
                <xdr:rowOff>7620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19"/>
  <sheetViews>
    <sheetView workbookViewId="0">
      <selection activeCell="C37" sqref="C37"/>
    </sheetView>
  </sheetViews>
  <sheetFormatPr baseColWidth="10" defaultRowHeight="14.4" x14ac:dyDescent="0.3"/>
  <cols>
    <col min="1" max="1" width="21.33203125" customWidth="1"/>
  </cols>
  <sheetData>
    <row r="1" spans="1:1" x14ac:dyDescent="0.3">
      <c r="A1" t="s">
        <v>23</v>
      </c>
    </row>
    <row r="2" spans="1:1" x14ac:dyDescent="0.3">
      <c r="A2" t="s">
        <v>24</v>
      </c>
    </row>
    <row r="3" spans="1:1" x14ac:dyDescent="0.3">
      <c r="A3" t="s">
        <v>25</v>
      </c>
    </row>
    <row r="4" spans="1:1" x14ac:dyDescent="0.3">
      <c r="A4" t="s">
        <v>26</v>
      </c>
    </row>
    <row r="5" spans="1:1" x14ac:dyDescent="0.3">
      <c r="A5" t="s">
        <v>27</v>
      </c>
    </row>
    <row r="6" spans="1:1" x14ac:dyDescent="0.3">
      <c r="A6" t="s">
        <v>28</v>
      </c>
    </row>
    <row r="7" spans="1:1" x14ac:dyDescent="0.3">
      <c r="A7" t="s">
        <v>29</v>
      </c>
    </row>
    <row r="8" spans="1:1" x14ac:dyDescent="0.3">
      <c r="A8" t="s">
        <v>30</v>
      </c>
    </row>
    <row r="9" spans="1:1" x14ac:dyDescent="0.3">
      <c r="A9" t="s">
        <v>31</v>
      </c>
    </row>
    <row r="10" spans="1:1" x14ac:dyDescent="0.3">
      <c r="A10" t="s">
        <v>32</v>
      </c>
    </row>
    <row r="11" spans="1:1" x14ac:dyDescent="0.3">
      <c r="A11" t="s">
        <v>33</v>
      </c>
    </row>
    <row r="12" spans="1:1" x14ac:dyDescent="0.3">
      <c r="A12" t="s">
        <v>34</v>
      </c>
    </row>
    <row r="13" spans="1:1" x14ac:dyDescent="0.3">
      <c r="A13" t="s">
        <v>35</v>
      </c>
    </row>
    <row r="14" spans="1:1" x14ac:dyDescent="0.3">
      <c r="A14" t="s">
        <v>36</v>
      </c>
    </row>
    <row r="15" spans="1:1" x14ac:dyDescent="0.3">
      <c r="A15" t="s">
        <v>37</v>
      </c>
    </row>
    <row r="16" spans="1:1" x14ac:dyDescent="0.3">
      <c r="A16" t="s">
        <v>38</v>
      </c>
    </row>
    <row r="17" spans="1:1" x14ac:dyDescent="0.3">
      <c r="A17" t="s">
        <v>39</v>
      </c>
    </row>
    <row r="18" spans="1:1" x14ac:dyDescent="0.3">
      <c r="A18" t="s">
        <v>40</v>
      </c>
    </row>
    <row r="19" spans="1:1" x14ac:dyDescent="0.3">
      <c r="A19" t="s">
        <v>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B15"/>
  <sheetViews>
    <sheetView workbookViewId="0">
      <selection activeCell="B14" sqref="B14"/>
    </sheetView>
  </sheetViews>
  <sheetFormatPr baseColWidth="10" defaultRowHeight="14.4" x14ac:dyDescent="0.3"/>
  <sheetData>
    <row r="1" spans="1:2" x14ac:dyDescent="0.3">
      <c r="A1" t="s">
        <v>46</v>
      </c>
      <c r="B1" s="3">
        <f>4/3</f>
        <v>1.3333333333333333</v>
      </c>
    </row>
    <row r="2" spans="1:2" x14ac:dyDescent="0.3">
      <c r="A2" t="s">
        <v>8</v>
      </c>
      <c r="B2" s="3">
        <v>3.6</v>
      </c>
    </row>
    <row r="3" spans="1:2" x14ac:dyDescent="0.3">
      <c r="A3" t="s">
        <v>10</v>
      </c>
      <c r="B3" s="3">
        <v>7</v>
      </c>
    </row>
    <row r="4" spans="1:2" x14ac:dyDescent="0.3">
      <c r="A4" s="10" t="s">
        <v>15</v>
      </c>
      <c r="B4" s="3">
        <v>1.2</v>
      </c>
    </row>
    <row r="5" spans="1:2" x14ac:dyDescent="0.3">
      <c r="A5" t="s">
        <v>0</v>
      </c>
      <c r="B5" s="3">
        <v>4</v>
      </c>
    </row>
    <row r="6" spans="1:2" x14ac:dyDescent="0.3">
      <c r="A6" t="s">
        <v>14</v>
      </c>
      <c r="B6" s="3">
        <v>1.2</v>
      </c>
    </row>
    <row r="7" spans="1:2" x14ac:dyDescent="0.3">
      <c r="A7" t="s">
        <v>5</v>
      </c>
      <c r="B7" s="3">
        <v>2</v>
      </c>
    </row>
    <row r="8" spans="1:2" x14ac:dyDescent="0.3">
      <c r="A8" t="s">
        <v>12</v>
      </c>
      <c r="B8" s="3">
        <v>7</v>
      </c>
    </row>
    <row r="9" spans="1:2" x14ac:dyDescent="0.3">
      <c r="A9" t="s">
        <v>1</v>
      </c>
      <c r="B9" s="3">
        <f t="shared" ref="B9:B14" si="0">4/3</f>
        <v>1.3333333333333333</v>
      </c>
    </row>
    <row r="10" spans="1:2" x14ac:dyDescent="0.3">
      <c r="A10" t="s">
        <v>11</v>
      </c>
      <c r="B10" s="3">
        <v>7</v>
      </c>
    </row>
    <row r="11" spans="1:2" x14ac:dyDescent="0.3">
      <c r="A11" t="s">
        <v>4</v>
      </c>
      <c r="B11" s="3">
        <v>8</v>
      </c>
    </row>
    <row r="12" spans="1:2" x14ac:dyDescent="0.3">
      <c r="A12" t="s">
        <v>13</v>
      </c>
      <c r="B12" s="3">
        <v>7</v>
      </c>
    </row>
    <row r="13" spans="1:2" x14ac:dyDescent="0.3">
      <c r="A13" t="s">
        <v>2</v>
      </c>
      <c r="B13" s="3">
        <f t="shared" si="0"/>
        <v>1.3333333333333333</v>
      </c>
    </row>
    <row r="14" spans="1:2" x14ac:dyDescent="0.3">
      <c r="A14" t="s">
        <v>3</v>
      </c>
      <c r="B14" s="3">
        <f t="shared" si="0"/>
        <v>1.3333333333333333</v>
      </c>
    </row>
    <row r="15" spans="1:2" x14ac:dyDescent="0.3">
      <c r="A15" t="s">
        <v>47</v>
      </c>
      <c r="B15" s="3">
        <v>12</v>
      </c>
    </row>
  </sheetData>
  <sortState ref="A1:A12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P48"/>
  <sheetViews>
    <sheetView zoomScaleNormal="100" workbookViewId="0">
      <selection activeCell="P3" sqref="P3"/>
    </sheetView>
  </sheetViews>
  <sheetFormatPr baseColWidth="10" defaultRowHeight="14.4" x14ac:dyDescent="0.3"/>
  <sheetData>
    <row r="1" spans="1:16" ht="15" thickBot="1" x14ac:dyDescent="0.35"/>
    <row r="2" spans="1:16" x14ac:dyDescent="0.3">
      <c r="B2" s="15" t="str">
        <f>[1]modules!A2</f>
        <v>ANGLAIS</v>
      </c>
      <c r="C2" s="16" t="str">
        <f>[1]modules!A4</f>
        <v>CONDPRJ</v>
      </c>
      <c r="D2" s="16" t="str">
        <f>[1]modules!A6</f>
        <v>DROIT</v>
      </c>
      <c r="E2" s="17" t="str">
        <f>[1]modules!A7</f>
        <v>EXPRCOM</v>
      </c>
      <c r="F2" s="15" t="str">
        <f>[1]modules!A1</f>
        <v>ALGO/Java</v>
      </c>
      <c r="G2" s="16" t="str">
        <f>[1]modules!A5</f>
        <v>DEVTSPE</v>
      </c>
      <c r="H2" s="16" t="str">
        <f>[1]modules!A9</f>
        <v>MATHINFO</v>
      </c>
      <c r="I2" s="16" t="str">
        <f>[1]modules!A13</f>
        <v>SI</v>
      </c>
      <c r="J2" s="17" t="str">
        <f>[1]modules!A14</f>
        <v>SYSTEME</v>
      </c>
      <c r="K2" s="18" t="str">
        <f>[1]modules!A10</f>
        <v>PPO</v>
      </c>
      <c r="L2" s="15" t="str">
        <f>[1]modules!A3</f>
        <v>BD</v>
      </c>
      <c r="M2" s="15" t="str">
        <f>[1]modules!A12</f>
        <v>SAR</v>
      </c>
      <c r="N2" s="15" t="str">
        <f>[1]modules!A8</f>
        <v>GL</v>
      </c>
      <c r="O2" s="15" t="str">
        <f>[1]modules!A11</f>
        <v>PRJIND</v>
      </c>
      <c r="P2" s="18" t="str">
        <f>[1]modules!A15</f>
        <v>MÉMOIRE</v>
      </c>
    </row>
    <row r="3" spans="1:16" ht="15" thickBot="1" x14ac:dyDescent="0.35">
      <c r="B3" s="19">
        <f>[1]modules!B2</f>
        <v>3.6</v>
      </c>
      <c r="C3" s="20">
        <f>[1]modules!B4</f>
        <v>1.2</v>
      </c>
      <c r="D3" s="20">
        <f>[1]modules!B6</f>
        <v>1.2</v>
      </c>
      <c r="E3" s="21">
        <f>[1]modules!B7</f>
        <v>2</v>
      </c>
      <c r="F3" s="19">
        <f>[1]modules!B1</f>
        <v>1.3333333333333333</v>
      </c>
      <c r="G3" s="20">
        <f>[1]modules!B5</f>
        <v>4</v>
      </c>
      <c r="H3" s="20">
        <f>[1]modules!B9</f>
        <v>1.3333333333333333</v>
      </c>
      <c r="I3" s="20">
        <f>[1]modules!B13</f>
        <v>1.3333333333333333</v>
      </c>
      <c r="J3" s="21">
        <f>[1]modules!B14</f>
        <v>1.3333333333333333</v>
      </c>
      <c r="K3" s="22">
        <f>[1]modules!B10</f>
        <v>7</v>
      </c>
      <c r="L3" s="23">
        <f>[1]modules!B3</f>
        <v>7</v>
      </c>
      <c r="M3" s="19">
        <f>[1]modules!B12</f>
        <v>7</v>
      </c>
      <c r="N3" s="19">
        <f>[1]modules!B8</f>
        <v>7</v>
      </c>
      <c r="O3" s="19">
        <f>[1]modules!B11</f>
        <v>8</v>
      </c>
      <c r="P3" s="22">
        <f>[1]modules!B15</f>
        <v>12</v>
      </c>
    </row>
    <row r="4" spans="1:16" ht="15" thickBot="1" x14ac:dyDescent="0.35">
      <c r="A4" t="s">
        <v>23</v>
      </c>
      <c r="B4" s="24">
        <v>10.5</v>
      </c>
      <c r="C4" s="25">
        <v>6</v>
      </c>
      <c r="D4" s="25">
        <v>8.85</v>
      </c>
      <c r="E4" s="26">
        <v>13.75</v>
      </c>
      <c r="F4" s="24">
        <v>10.5</v>
      </c>
      <c r="G4" s="27"/>
      <c r="H4" s="25">
        <v>4.75</v>
      </c>
      <c r="I4" s="27"/>
      <c r="J4" s="26">
        <v>14.6</v>
      </c>
      <c r="K4" s="24">
        <v>6.48</v>
      </c>
      <c r="L4" s="24">
        <v>6.75</v>
      </c>
      <c r="M4" s="24">
        <v>14.17</v>
      </c>
      <c r="N4" s="24">
        <v>8.5</v>
      </c>
      <c r="O4" s="24">
        <v>15.5</v>
      </c>
      <c r="P4" s="28">
        <v>18.5</v>
      </c>
    </row>
    <row r="5" spans="1:16" ht="15" thickBot="1" x14ac:dyDescent="0.35">
      <c r="A5" t="s">
        <v>24</v>
      </c>
      <c r="B5" s="29">
        <v>9.67</v>
      </c>
      <c r="C5" s="30">
        <v>11.5</v>
      </c>
      <c r="D5" s="30">
        <v>11.05</v>
      </c>
      <c r="E5" s="31">
        <v>14.5</v>
      </c>
      <c r="F5" s="29">
        <v>14</v>
      </c>
      <c r="G5" s="32"/>
      <c r="H5" s="30">
        <v>12</v>
      </c>
      <c r="I5" s="32"/>
      <c r="J5" s="31">
        <v>10.5</v>
      </c>
      <c r="K5" s="29">
        <v>17.100000000000001</v>
      </c>
      <c r="L5" s="29">
        <v>9.85</v>
      </c>
      <c r="M5" s="29">
        <v>11.5</v>
      </c>
      <c r="N5" s="29">
        <v>11.75</v>
      </c>
      <c r="O5" s="29">
        <v>14.75</v>
      </c>
      <c r="P5" s="33">
        <v>15</v>
      </c>
    </row>
    <row r="6" spans="1:16" ht="15" thickBot="1" x14ac:dyDescent="0.35">
      <c r="A6" t="s">
        <v>25</v>
      </c>
      <c r="B6" s="29">
        <v>15.1</v>
      </c>
      <c r="C6" s="30">
        <v>15.5</v>
      </c>
      <c r="D6" s="30">
        <v>8.35</v>
      </c>
      <c r="E6" s="31">
        <v>11.75</v>
      </c>
      <c r="F6" s="34"/>
      <c r="G6" s="30">
        <v>16</v>
      </c>
      <c r="H6" s="32"/>
      <c r="I6" s="32"/>
      <c r="J6" s="35"/>
      <c r="K6" s="29">
        <v>17.7</v>
      </c>
      <c r="L6" s="29">
        <v>11.83</v>
      </c>
      <c r="M6" s="29">
        <v>13.42</v>
      </c>
      <c r="N6" s="29">
        <v>14.5</v>
      </c>
      <c r="O6" s="29">
        <v>15</v>
      </c>
      <c r="P6" s="33">
        <v>15.5</v>
      </c>
    </row>
    <row r="7" spans="1:16" ht="15" thickBot="1" x14ac:dyDescent="0.35">
      <c r="A7" t="s">
        <v>26</v>
      </c>
      <c r="B7" s="29">
        <v>9.5</v>
      </c>
      <c r="C7" s="30">
        <v>13</v>
      </c>
      <c r="D7" s="30">
        <v>10.85</v>
      </c>
      <c r="E7" s="31">
        <v>13.75</v>
      </c>
      <c r="F7" s="29">
        <v>16</v>
      </c>
      <c r="G7" s="32"/>
      <c r="H7" s="30">
        <v>16.25</v>
      </c>
      <c r="I7" s="32"/>
      <c r="J7" s="31">
        <v>16.600000000000001</v>
      </c>
      <c r="K7" s="29">
        <v>18.510000000000002</v>
      </c>
      <c r="L7" s="29">
        <v>9.01</v>
      </c>
      <c r="M7" s="29">
        <v>14.5</v>
      </c>
      <c r="N7" s="29">
        <v>13.5</v>
      </c>
      <c r="O7" s="29">
        <v>9.75</v>
      </c>
      <c r="P7" s="33">
        <v>11</v>
      </c>
    </row>
    <row r="8" spans="1:16" ht="15" thickBot="1" x14ac:dyDescent="0.35">
      <c r="A8" t="s">
        <v>27</v>
      </c>
      <c r="B8" s="29">
        <v>11</v>
      </c>
      <c r="C8" s="30">
        <v>9</v>
      </c>
      <c r="D8" s="30">
        <v>7.5</v>
      </c>
      <c r="E8" s="31">
        <v>12</v>
      </c>
      <c r="F8" s="29">
        <v>10.5</v>
      </c>
      <c r="G8" s="32"/>
      <c r="H8" s="30">
        <v>8.5</v>
      </c>
      <c r="I8" s="30">
        <v>7</v>
      </c>
      <c r="J8" s="35"/>
      <c r="K8" s="29">
        <v>9</v>
      </c>
      <c r="L8" s="29">
        <v>11.85</v>
      </c>
      <c r="M8" s="29">
        <v>10.25</v>
      </c>
      <c r="N8" s="29">
        <v>8</v>
      </c>
      <c r="O8" s="29">
        <v>10</v>
      </c>
      <c r="P8" s="33">
        <v>12</v>
      </c>
    </row>
    <row r="9" spans="1:16" ht="15" thickBot="1" x14ac:dyDescent="0.35">
      <c r="A9" t="s">
        <v>28</v>
      </c>
      <c r="B9" s="29">
        <v>5.33</v>
      </c>
      <c r="C9" s="30">
        <v>1.5</v>
      </c>
      <c r="D9" s="30">
        <v>0.5</v>
      </c>
      <c r="E9" s="31">
        <v>10</v>
      </c>
      <c r="F9" s="29">
        <v>13.25</v>
      </c>
      <c r="G9" s="32"/>
      <c r="H9" s="30">
        <v>7.5</v>
      </c>
      <c r="I9" s="30">
        <v>7</v>
      </c>
      <c r="J9" s="35"/>
      <c r="K9" s="29">
        <v>5.43</v>
      </c>
      <c r="L9" s="29">
        <v>1.86</v>
      </c>
      <c r="M9" s="29">
        <v>2.25</v>
      </c>
      <c r="N9" s="29">
        <v>5</v>
      </c>
      <c r="O9" s="29">
        <v>0</v>
      </c>
      <c r="P9" s="33">
        <v>6</v>
      </c>
    </row>
    <row r="10" spans="1:16" ht="15" thickBot="1" x14ac:dyDescent="0.35">
      <c r="A10" t="s">
        <v>29</v>
      </c>
      <c r="B10" s="29">
        <v>10.8</v>
      </c>
      <c r="C10" s="30">
        <v>12</v>
      </c>
      <c r="D10" s="30">
        <v>5.25</v>
      </c>
      <c r="E10" s="31">
        <v>5.75</v>
      </c>
      <c r="F10" s="34"/>
      <c r="G10" s="30">
        <v>15</v>
      </c>
      <c r="H10" s="32"/>
      <c r="I10" s="32"/>
      <c r="J10" s="35"/>
      <c r="K10" s="29">
        <v>3.26</v>
      </c>
      <c r="L10" s="29">
        <v>3.83</v>
      </c>
      <c r="M10" s="29">
        <v>5.75</v>
      </c>
      <c r="N10" s="29">
        <v>8</v>
      </c>
      <c r="O10" s="29">
        <v>10</v>
      </c>
      <c r="P10" s="33">
        <v>10</v>
      </c>
    </row>
    <row r="11" spans="1:16" ht="15" thickBot="1" x14ac:dyDescent="0.35">
      <c r="A11" t="s">
        <v>30</v>
      </c>
      <c r="B11" s="29">
        <v>14.85</v>
      </c>
      <c r="C11" s="30">
        <v>15.5</v>
      </c>
      <c r="D11" s="30">
        <v>10.25</v>
      </c>
      <c r="E11" s="31">
        <v>14</v>
      </c>
      <c r="F11" s="34"/>
      <c r="G11" s="30">
        <v>15</v>
      </c>
      <c r="H11" s="32"/>
      <c r="I11" s="32"/>
      <c r="J11" s="35"/>
      <c r="K11" s="29">
        <v>17.899999999999999</v>
      </c>
      <c r="L11" s="29">
        <v>12.53</v>
      </c>
      <c r="M11" s="29">
        <v>17.829999999999998</v>
      </c>
      <c r="N11" s="29">
        <v>14.25</v>
      </c>
      <c r="O11" s="29">
        <v>12.5</v>
      </c>
      <c r="P11" s="33">
        <v>13</v>
      </c>
    </row>
    <row r="12" spans="1:16" ht="15" thickBot="1" x14ac:dyDescent="0.35">
      <c r="A12" t="s">
        <v>31</v>
      </c>
      <c r="B12" s="29">
        <v>9.67</v>
      </c>
      <c r="C12" s="30">
        <v>6.5</v>
      </c>
      <c r="D12" s="30">
        <v>7.1</v>
      </c>
      <c r="E12" s="31">
        <v>12.75</v>
      </c>
      <c r="F12" s="29">
        <v>15</v>
      </c>
      <c r="G12" s="32"/>
      <c r="H12" s="30">
        <v>15.75</v>
      </c>
      <c r="I12" s="30">
        <v>17</v>
      </c>
      <c r="J12" s="35"/>
      <c r="K12" s="29">
        <v>12.33</v>
      </c>
      <c r="L12" s="29">
        <v>8.89</v>
      </c>
      <c r="M12" s="29">
        <v>16.829999999999998</v>
      </c>
      <c r="N12" s="29">
        <v>12.5</v>
      </c>
      <c r="O12" s="29">
        <v>10</v>
      </c>
      <c r="P12" s="33">
        <v>11.5</v>
      </c>
    </row>
    <row r="13" spans="1:16" ht="15" thickBot="1" x14ac:dyDescent="0.35">
      <c r="A13" t="s">
        <v>32</v>
      </c>
      <c r="B13" s="29">
        <v>7.83</v>
      </c>
      <c r="C13" s="30">
        <v>14</v>
      </c>
      <c r="D13" s="30">
        <v>8.8000000000000007</v>
      </c>
      <c r="E13" s="31">
        <v>11.75</v>
      </c>
      <c r="F13" s="34"/>
      <c r="G13" s="30">
        <v>12</v>
      </c>
      <c r="H13" s="32"/>
      <c r="I13" s="32"/>
      <c r="J13" s="35"/>
      <c r="K13" s="29">
        <v>15.36</v>
      </c>
      <c r="L13" s="29">
        <v>8.81</v>
      </c>
      <c r="M13" s="29">
        <v>14.08</v>
      </c>
      <c r="N13" s="29">
        <v>10.5</v>
      </c>
      <c r="O13" s="29">
        <v>15</v>
      </c>
      <c r="P13" s="33">
        <v>16</v>
      </c>
    </row>
    <row r="14" spans="1:16" ht="15" thickBot="1" x14ac:dyDescent="0.35">
      <c r="A14" t="s">
        <v>33</v>
      </c>
      <c r="B14" s="29">
        <v>13.2</v>
      </c>
      <c r="C14" s="30">
        <v>19</v>
      </c>
      <c r="D14" s="30">
        <v>13.75</v>
      </c>
      <c r="E14" s="31">
        <v>11</v>
      </c>
      <c r="F14" s="29">
        <v>12.25</v>
      </c>
      <c r="G14" s="32"/>
      <c r="H14" s="30">
        <v>18.5</v>
      </c>
      <c r="I14" s="32"/>
      <c r="J14" s="31">
        <v>11.2</v>
      </c>
      <c r="K14" s="29">
        <v>17.52</v>
      </c>
      <c r="L14" s="29">
        <v>13.54</v>
      </c>
      <c r="M14" s="29">
        <v>15.67</v>
      </c>
      <c r="N14" s="29">
        <v>15.63</v>
      </c>
      <c r="O14" s="29">
        <v>17.5</v>
      </c>
      <c r="P14" s="33">
        <v>17</v>
      </c>
    </row>
    <row r="15" spans="1:16" ht="15" thickBot="1" x14ac:dyDescent="0.35">
      <c r="A15" t="s">
        <v>34</v>
      </c>
      <c r="B15" s="29">
        <v>5.67</v>
      </c>
      <c r="C15" s="30">
        <v>10</v>
      </c>
      <c r="D15" s="30">
        <v>5</v>
      </c>
      <c r="E15" s="31">
        <v>13.75</v>
      </c>
      <c r="F15" s="29">
        <v>15</v>
      </c>
      <c r="G15" s="32"/>
      <c r="H15" s="30">
        <v>16.5</v>
      </c>
      <c r="I15" s="32"/>
      <c r="J15" s="31">
        <v>17</v>
      </c>
      <c r="K15" s="29">
        <v>10.01</v>
      </c>
      <c r="L15" s="29">
        <v>10.24</v>
      </c>
      <c r="M15" s="29">
        <v>9.25</v>
      </c>
      <c r="N15" s="29">
        <v>14.5</v>
      </c>
      <c r="O15" s="29">
        <v>14</v>
      </c>
      <c r="P15" s="33">
        <v>13</v>
      </c>
    </row>
    <row r="16" spans="1:16" ht="15" thickBot="1" x14ac:dyDescent="0.35">
      <c r="A16" t="s">
        <v>35</v>
      </c>
      <c r="B16" s="29">
        <v>16.170000000000002</v>
      </c>
      <c r="C16" s="30">
        <v>15</v>
      </c>
      <c r="D16" s="30">
        <v>13.1</v>
      </c>
      <c r="E16" s="31">
        <v>15.75</v>
      </c>
      <c r="F16" s="29">
        <v>13.5</v>
      </c>
      <c r="G16" s="32"/>
      <c r="H16" s="30">
        <v>15</v>
      </c>
      <c r="I16" s="32"/>
      <c r="J16" s="31">
        <v>17.100000000000001</v>
      </c>
      <c r="K16" s="29">
        <v>17.98</v>
      </c>
      <c r="L16" s="29">
        <v>11.7</v>
      </c>
      <c r="M16" s="29">
        <v>17.920000000000002</v>
      </c>
      <c r="N16" s="29">
        <v>13</v>
      </c>
      <c r="O16" s="29">
        <v>17.5</v>
      </c>
      <c r="P16" s="33">
        <v>19.5</v>
      </c>
    </row>
    <row r="17" spans="1:16" ht="15" thickBot="1" x14ac:dyDescent="0.35">
      <c r="A17" t="s">
        <v>36</v>
      </c>
      <c r="B17" s="29">
        <v>8</v>
      </c>
      <c r="C17" s="30">
        <v>6.5</v>
      </c>
      <c r="D17" s="30">
        <v>5.65</v>
      </c>
      <c r="E17" s="31">
        <v>7.5</v>
      </c>
      <c r="F17" s="34"/>
      <c r="G17" s="30">
        <v>17</v>
      </c>
      <c r="H17" s="32"/>
      <c r="I17" s="32"/>
      <c r="J17" s="35"/>
      <c r="K17" s="29">
        <v>19.079999999999998</v>
      </c>
      <c r="L17" s="29">
        <v>7.91</v>
      </c>
      <c r="M17" s="29">
        <v>11.33</v>
      </c>
      <c r="N17" s="29">
        <v>5.25</v>
      </c>
      <c r="O17" s="29">
        <v>15.5</v>
      </c>
      <c r="P17" s="33">
        <v>15.5</v>
      </c>
    </row>
    <row r="18" spans="1:16" ht="15" thickBot="1" x14ac:dyDescent="0.35">
      <c r="A18" t="s">
        <v>37</v>
      </c>
      <c r="B18" s="29">
        <v>9.67</v>
      </c>
      <c r="C18" s="30">
        <v>11</v>
      </c>
      <c r="D18" s="30">
        <v>7</v>
      </c>
      <c r="E18" s="31">
        <v>11.75</v>
      </c>
      <c r="F18" s="34"/>
      <c r="G18" s="30">
        <v>12</v>
      </c>
      <c r="H18" s="32"/>
      <c r="I18" s="32"/>
      <c r="J18" s="35"/>
      <c r="K18" s="29">
        <v>9.42</v>
      </c>
      <c r="L18" s="29">
        <v>8.85</v>
      </c>
      <c r="M18" s="29">
        <v>12.33</v>
      </c>
      <c r="N18" s="29">
        <v>12.75</v>
      </c>
      <c r="O18" s="29">
        <v>13</v>
      </c>
      <c r="P18" s="33">
        <v>14</v>
      </c>
    </row>
    <row r="19" spans="1:16" ht="15" thickBot="1" x14ac:dyDescent="0.35">
      <c r="A19" t="s">
        <v>38</v>
      </c>
      <c r="B19" s="29">
        <v>7.5</v>
      </c>
      <c r="C19" s="30">
        <v>8.5</v>
      </c>
      <c r="D19" s="30">
        <v>6.35</v>
      </c>
      <c r="E19" s="31">
        <v>10.25</v>
      </c>
      <c r="F19" s="34"/>
      <c r="G19" s="30">
        <v>11</v>
      </c>
      <c r="H19" s="32"/>
      <c r="I19" s="32"/>
      <c r="J19" s="35"/>
      <c r="K19" s="29">
        <v>14.2</v>
      </c>
      <c r="L19" s="29">
        <v>9.1999999999999993</v>
      </c>
      <c r="M19" s="29">
        <v>8.83</v>
      </c>
      <c r="N19" s="29">
        <v>9.25</v>
      </c>
      <c r="O19" s="29">
        <v>11.5</v>
      </c>
      <c r="P19" s="33">
        <v>10.5</v>
      </c>
    </row>
    <row r="20" spans="1:16" ht="15" thickBot="1" x14ac:dyDescent="0.35">
      <c r="A20" t="s">
        <v>39</v>
      </c>
      <c r="B20" s="29">
        <v>5.5</v>
      </c>
      <c r="C20" s="30">
        <v>7</v>
      </c>
      <c r="D20" s="30">
        <v>8.3000000000000007</v>
      </c>
      <c r="E20" s="31">
        <v>10.25</v>
      </c>
      <c r="F20" s="29">
        <v>9.75</v>
      </c>
      <c r="G20" s="32"/>
      <c r="H20" s="30">
        <v>5.25</v>
      </c>
      <c r="I20" s="30">
        <v>4.5</v>
      </c>
      <c r="J20" s="35"/>
      <c r="K20" s="29">
        <v>2.82</v>
      </c>
      <c r="L20" s="29">
        <v>4.71</v>
      </c>
      <c r="M20" s="29">
        <v>5.5</v>
      </c>
      <c r="N20" s="29">
        <v>7.5</v>
      </c>
      <c r="O20" s="29">
        <v>0</v>
      </c>
      <c r="P20" s="33">
        <v>0</v>
      </c>
    </row>
    <row r="21" spans="1:16" ht="15" thickBot="1" x14ac:dyDescent="0.35">
      <c r="A21" t="s">
        <v>40</v>
      </c>
      <c r="B21" s="29">
        <v>1</v>
      </c>
      <c r="C21" s="30">
        <v>3</v>
      </c>
      <c r="D21" s="30">
        <v>1.25</v>
      </c>
      <c r="E21" s="31">
        <v>9</v>
      </c>
      <c r="F21" s="29">
        <v>12.75</v>
      </c>
      <c r="G21" s="32"/>
      <c r="H21" s="30">
        <v>4.25</v>
      </c>
      <c r="I21" s="30">
        <v>12</v>
      </c>
      <c r="J21" s="35"/>
      <c r="K21" s="29">
        <v>14.94</v>
      </c>
      <c r="L21" s="29">
        <v>5.61</v>
      </c>
      <c r="M21" s="29">
        <v>6.92</v>
      </c>
      <c r="N21" s="29">
        <v>4</v>
      </c>
      <c r="O21" s="29">
        <v>0</v>
      </c>
      <c r="P21" s="33">
        <v>0</v>
      </c>
    </row>
    <row r="22" spans="1:16" ht="15" thickBot="1" x14ac:dyDescent="0.35">
      <c r="A22" t="s">
        <v>41</v>
      </c>
      <c r="B22" s="36">
        <v>10.67</v>
      </c>
      <c r="C22" s="37">
        <v>9</v>
      </c>
      <c r="D22" s="37">
        <v>3.85</v>
      </c>
      <c r="E22" s="38">
        <v>11.5</v>
      </c>
      <c r="F22" s="36">
        <v>14</v>
      </c>
      <c r="G22" s="39"/>
      <c r="H22" s="37">
        <v>7</v>
      </c>
      <c r="I22" s="37">
        <v>8</v>
      </c>
      <c r="J22" s="40"/>
      <c r="K22" s="36">
        <v>11.44</v>
      </c>
      <c r="L22" s="36">
        <v>7.64</v>
      </c>
      <c r="M22" s="36">
        <v>6</v>
      </c>
      <c r="N22" s="36">
        <v>9.75</v>
      </c>
      <c r="O22" s="36">
        <v>12.5</v>
      </c>
      <c r="P22" s="41">
        <v>14.5</v>
      </c>
    </row>
    <row r="23" spans="1:16" ht="15" thickBot="1" x14ac:dyDescent="0.35">
      <c r="A23" s="42" t="s">
        <v>51</v>
      </c>
      <c r="B23" s="24">
        <f>AVERAGE(B4:B22)</f>
        <v>9.5594736842105252</v>
      </c>
      <c r="C23" s="25">
        <f>AVERAGE(C4:C22)</f>
        <v>10.184210526315789</v>
      </c>
      <c r="D23" s="25">
        <f>AVERAGE(D4:D22)</f>
        <v>7.5131578947368425</v>
      </c>
      <c r="E23" s="26">
        <f>AVERAGE(E4:E22)</f>
        <v>11.618421052631579</v>
      </c>
      <c r="F23" s="24">
        <f>AVERAGE(F4:F22)</f>
        <v>13.041666666666666</v>
      </c>
      <c r="G23" s="25">
        <f t="shared" ref="G23:P23" si="0">AVERAGE(G4:G22)</f>
        <v>14</v>
      </c>
      <c r="H23" s="25">
        <f t="shared" si="0"/>
        <v>10.9375</v>
      </c>
      <c r="I23" s="25">
        <f t="shared" si="0"/>
        <v>9.25</v>
      </c>
      <c r="J23" s="26">
        <f t="shared" si="0"/>
        <v>14.5</v>
      </c>
      <c r="K23" s="24">
        <f t="shared" si="0"/>
        <v>12.656842105263154</v>
      </c>
      <c r="L23" s="24">
        <f t="shared" si="0"/>
        <v>8.6636842105263145</v>
      </c>
      <c r="M23" s="24">
        <f t="shared" si="0"/>
        <v>11.280526315789476</v>
      </c>
      <c r="N23" s="24">
        <f t="shared" si="0"/>
        <v>10.427894736842106</v>
      </c>
      <c r="O23" s="24">
        <f t="shared" si="0"/>
        <v>11.263157894736842</v>
      </c>
      <c r="P23" s="28">
        <f t="shared" si="0"/>
        <v>12.236842105263158</v>
      </c>
    </row>
    <row r="24" spans="1:16" ht="15" thickBot="1" x14ac:dyDescent="0.35">
      <c r="A24" s="42" t="s">
        <v>49</v>
      </c>
      <c r="B24" s="29">
        <f>MIN(B4:B22)</f>
        <v>1</v>
      </c>
      <c r="C24" s="30">
        <f>MIN(C4:C22)</f>
        <v>1.5</v>
      </c>
      <c r="D24" s="30">
        <f>MIN(D4:D22)</f>
        <v>0.5</v>
      </c>
      <c r="E24" s="31">
        <f>MIN(E4:E22)</f>
        <v>5.75</v>
      </c>
      <c r="F24" s="29">
        <f>MIN(F4:F22)</f>
        <v>9.75</v>
      </c>
      <c r="G24" s="30">
        <f t="shared" ref="G24:P24" si="1">MIN(G4:G22)</f>
        <v>11</v>
      </c>
      <c r="H24" s="30">
        <f t="shared" si="1"/>
        <v>4.25</v>
      </c>
      <c r="I24" s="30">
        <f t="shared" si="1"/>
        <v>4.5</v>
      </c>
      <c r="J24" s="31">
        <f t="shared" si="1"/>
        <v>10.5</v>
      </c>
      <c r="K24" s="29">
        <f t="shared" si="1"/>
        <v>2.82</v>
      </c>
      <c r="L24" s="29">
        <f t="shared" si="1"/>
        <v>1.86</v>
      </c>
      <c r="M24" s="29">
        <f t="shared" si="1"/>
        <v>2.25</v>
      </c>
      <c r="N24" s="29">
        <f t="shared" si="1"/>
        <v>4</v>
      </c>
      <c r="O24" s="29">
        <f t="shared" si="1"/>
        <v>0</v>
      </c>
      <c r="P24" s="33">
        <f t="shared" si="1"/>
        <v>0</v>
      </c>
    </row>
    <row r="25" spans="1:16" ht="15" thickBot="1" x14ac:dyDescent="0.35">
      <c r="A25" s="42" t="s">
        <v>50</v>
      </c>
      <c r="B25" s="36">
        <f>MAX(B4:B22)</f>
        <v>16.170000000000002</v>
      </c>
      <c r="C25" s="37">
        <f>MAX(C4:C22)</f>
        <v>19</v>
      </c>
      <c r="D25" s="37">
        <f>MAX(D4:D22)</f>
        <v>13.75</v>
      </c>
      <c r="E25" s="38">
        <f>MAX(E4:E22)</f>
        <v>15.75</v>
      </c>
      <c r="F25" s="36">
        <f>MAX(F4:F22)</f>
        <v>16</v>
      </c>
      <c r="G25" s="37">
        <f t="shared" ref="G25:P25" si="2">MAX(G4:G22)</f>
        <v>17</v>
      </c>
      <c r="H25" s="37">
        <f t="shared" si="2"/>
        <v>18.5</v>
      </c>
      <c r="I25" s="37">
        <f t="shared" si="2"/>
        <v>17</v>
      </c>
      <c r="J25" s="38">
        <f t="shared" si="2"/>
        <v>17.100000000000001</v>
      </c>
      <c r="K25" s="36">
        <f t="shared" si="2"/>
        <v>19.079999999999998</v>
      </c>
      <c r="L25" s="36">
        <f t="shared" si="2"/>
        <v>13.54</v>
      </c>
      <c r="M25" s="36">
        <f t="shared" si="2"/>
        <v>17.920000000000002</v>
      </c>
      <c r="N25" s="36">
        <f t="shared" si="2"/>
        <v>15.63</v>
      </c>
      <c r="O25" s="36">
        <f t="shared" si="2"/>
        <v>17.5</v>
      </c>
      <c r="P25" s="41">
        <f t="shared" si="2"/>
        <v>19.5</v>
      </c>
    </row>
    <row r="26" spans="1:16" x14ac:dyDescent="0.3">
      <c r="M26" s="13"/>
      <c r="N26" s="13"/>
      <c r="O26" s="43"/>
      <c r="P26" s="43"/>
    </row>
    <row r="27" spans="1:16" x14ac:dyDescent="0.3">
      <c r="M27" s="13"/>
      <c r="N27" s="13"/>
      <c r="O27" s="13"/>
      <c r="P27" s="43"/>
    </row>
    <row r="28" spans="1:16" x14ac:dyDescent="0.3">
      <c r="M28" s="13"/>
      <c r="N28" s="13"/>
      <c r="O28" s="13"/>
      <c r="P28" s="43"/>
    </row>
    <row r="29" spans="1:16" x14ac:dyDescent="0.3">
      <c r="G29" s="49"/>
      <c r="M29" s="13"/>
      <c r="N29" s="13"/>
      <c r="O29" s="13"/>
      <c r="P29" s="43"/>
    </row>
    <row r="30" spans="1:16" x14ac:dyDescent="0.3">
      <c r="M30" s="13"/>
      <c r="N30" s="13"/>
      <c r="O30" s="13"/>
      <c r="P30" s="43"/>
    </row>
    <row r="31" spans="1:16" x14ac:dyDescent="0.3">
      <c r="M31" s="13"/>
      <c r="N31" s="13"/>
      <c r="O31" s="13"/>
      <c r="P31" s="43"/>
    </row>
    <row r="32" spans="1:16" x14ac:dyDescent="0.3">
      <c r="M32" s="13"/>
      <c r="N32" s="13"/>
      <c r="O32" s="13"/>
      <c r="P32" s="43"/>
    </row>
    <row r="33" spans="13:16" x14ac:dyDescent="0.3">
      <c r="M33" s="13"/>
      <c r="N33" s="13"/>
      <c r="O33" s="13"/>
      <c r="P33" s="43"/>
    </row>
    <row r="34" spans="13:16" x14ac:dyDescent="0.3">
      <c r="M34" s="13"/>
      <c r="N34" s="13"/>
      <c r="O34" s="13"/>
      <c r="P34" s="43"/>
    </row>
    <row r="35" spans="13:16" x14ac:dyDescent="0.3">
      <c r="M35" s="13"/>
      <c r="N35" s="13"/>
      <c r="O35" s="13"/>
      <c r="P35" s="43"/>
    </row>
    <row r="36" spans="13:16" x14ac:dyDescent="0.3">
      <c r="M36" s="13"/>
      <c r="N36" s="13"/>
      <c r="O36" s="13"/>
      <c r="P36" s="43"/>
    </row>
    <row r="37" spans="13:16" x14ac:dyDescent="0.3">
      <c r="M37" s="13"/>
      <c r="N37" s="13"/>
      <c r="O37" s="13"/>
      <c r="P37" s="43"/>
    </row>
    <row r="38" spans="13:16" x14ac:dyDescent="0.3">
      <c r="M38" s="13"/>
      <c r="N38" s="13"/>
      <c r="O38" s="13"/>
      <c r="P38" s="43"/>
    </row>
    <row r="39" spans="13:16" x14ac:dyDescent="0.3">
      <c r="M39" s="13"/>
      <c r="N39" s="13"/>
      <c r="O39" s="13"/>
      <c r="P39" s="43"/>
    </row>
    <row r="40" spans="13:16" x14ac:dyDescent="0.3">
      <c r="M40" s="13"/>
      <c r="N40" s="13"/>
      <c r="O40" s="13"/>
      <c r="P40" s="43"/>
    </row>
    <row r="41" spans="13:16" x14ac:dyDescent="0.3">
      <c r="M41" s="13"/>
      <c r="N41" s="13"/>
      <c r="O41" s="13"/>
      <c r="P41" s="43"/>
    </row>
    <row r="42" spans="13:16" x14ac:dyDescent="0.3">
      <c r="M42" s="13"/>
      <c r="N42" s="13"/>
      <c r="O42" s="13"/>
      <c r="P42" s="43"/>
    </row>
    <row r="43" spans="13:16" x14ac:dyDescent="0.3">
      <c r="M43" s="13"/>
      <c r="N43" s="13"/>
      <c r="O43" s="13"/>
      <c r="P43" s="13"/>
    </row>
    <row r="44" spans="13:16" x14ac:dyDescent="0.3">
      <c r="M44" s="13"/>
      <c r="N44" s="13"/>
      <c r="O44" s="13"/>
      <c r="P44" s="13"/>
    </row>
    <row r="45" spans="13:16" x14ac:dyDescent="0.3">
      <c r="M45" s="13"/>
      <c r="N45" s="13"/>
      <c r="O45" s="13"/>
      <c r="P45" s="13"/>
    </row>
    <row r="46" spans="13:16" x14ac:dyDescent="0.3">
      <c r="M46" s="13"/>
      <c r="N46" s="13"/>
      <c r="O46" s="13"/>
      <c r="P46" s="13"/>
    </row>
    <row r="47" spans="13:16" x14ac:dyDescent="0.3">
      <c r="M47" s="13"/>
      <c r="N47" s="13"/>
      <c r="O47" s="13"/>
      <c r="P47" s="13"/>
    </row>
    <row r="48" spans="13:16" x14ac:dyDescent="0.3">
      <c r="M48" s="13"/>
      <c r="N48" s="13"/>
      <c r="O48" s="13"/>
      <c r="P48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6"/>
  <dimension ref="A1:L23"/>
  <sheetViews>
    <sheetView workbookViewId="0">
      <selection activeCell="B5" sqref="B5"/>
    </sheetView>
  </sheetViews>
  <sheetFormatPr baseColWidth="10" defaultRowHeight="14.4" x14ac:dyDescent="0.3"/>
  <cols>
    <col min="1" max="1" width="12.6640625" bestFit="1" customWidth="1"/>
    <col min="2" max="2" width="9" bestFit="1" customWidth="1"/>
    <col min="3" max="3" width="8.6640625" bestFit="1" customWidth="1"/>
    <col min="4" max="4" width="10.6640625" bestFit="1" customWidth="1"/>
    <col min="5" max="5" width="8.6640625" bestFit="1" customWidth="1"/>
    <col min="6" max="6" width="6" bestFit="1" customWidth="1"/>
    <col min="7" max="7" width="10.6640625" bestFit="1" customWidth="1"/>
    <col min="8" max="8" width="9.33203125" bestFit="1" customWidth="1"/>
    <col min="9" max="10" width="8.6640625" bestFit="1" customWidth="1"/>
    <col min="11" max="11" width="7.33203125" bestFit="1" customWidth="1"/>
    <col min="12" max="12" width="8.6640625" bestFit="1" customWidth="1"/>
  </cols>
  <sheetData>
    <row r="1" spans="1:12" x14ac:dyDescent="0.3">
      <c r="A1">
        <v>38</v>
      </c>
      <c r="B1" t="s">
        <v>18</v>
      </c>
      <c r="D1" t="s">
        <v>19</v>
      </c>
      <c r="H1" t="s">
        <v>20</v>
      </c>
      <c r="L1" t="s">
        <v>17</v>
      </c>
    </row>
    <row r="2" spans="1:12" x14ac:dyDescent="0.3">
      <c r="B2" s="1" t="s">
        <v>0</v>
      </c>
      <c r="C2" s="1" t="s">
        <v>0</v>
      </c>
      <c r="D2" s="1" t="s">
        <v>1</v>
      </c>
      <c r="E2" s="1" t="s">
        <v>0</v>
      </c>
      <c r="F2" s="1" t="s">
        <v>2</v>
      </c>
      <c r="G2" s="1" t="s">
        <v>1</v>
      </c>
      <c r="H2" s="1" t="s">
        <v>0</v>
      </c>
      <c r="I2" s="1" t="s">
        <v>0</v>
      </c>
      <c r="J2" s="1" t="s">
        <v>3</v>
      </c>
      <c r="K2" s="1" t="s">
        <v>4</v>
      </c>
      <c r="L2" s="1" t="s">
        <v>3</v>
      </c>
    </row>
    <row r="3" spans="1:12" x14ac:dyDescent="0.3">
      <c r="B3" s="1">
        <v>11</v>
      </c>
      <c r="C3" s="1">
        <v>14</v>
      </c>
      <c r="D3" s="1">
        <v>8</v>
      </c>
      <c r="E3" s="1">
        <v>8</v>
      </c>
      <c r="F3" s="1">
        <v>10.25</v>
      </c>
      <c r="G3" s="1">
        <v>14</v>
      </c>
      <c r="H3" s="1">
        <v>8</v>
      </c>
      <c r="I3" s="1">
        <v>10</v>
      </c>
      <c r="J3" s="1">
        <v>13.5</v>
      </c>
      <c r="K3" s="1">
        <v>16</v>
      </c>
      <c r="L3" s="1">
        <v>8</v>
      </c>
    </row>
    <row r="4" spans="1:12" x14ac:dyDescent="0.3">
      <c r="B4" s="1">
        <v>13</v>
      </c>
      <c r="C4" s="1">
        <v>18</v>
      </c>
      <c r="D4" s="1">
        <v>10</v>
      </c>
      <c r="E4" s="1">
        <v>12</v>
      </c>
      <c r="F4" s="1">
        <v>12.25</v>
      </c>
      <c r="G4" s="1">
        <v>16</v>
      </c>
      <c r="H4" s="1">
        <v>10</v>
      </c>
      <c r="I4" s="1">
        <v>12</v>
      </c>
      <c r="J4" s="1">
        <v>16</v>
      </c>
      <c r="K4" s="1">
        <v>18</v>
      </c>
      <c r="L4" s="1">
        <v>12</v>
      </c>
    </row>
    <row r="5" spans="1:12" x14ac:dyDescent="0.3">
      <c r="A5" t="s">
        <v>23</v>
      </c>
      <c r="B5" s="1" t="s">
        <v>16</v>
      </c>
      <c r="C5" s="1" t="s">
        <v>16</v>
      </c>
      <c r="D5" s="1"/>
      <c r="E5" s="1" t="s">
        <v>16</v>
      </c>
      <c r="F5" s="1" t="s">
        <v>16</v>
      </c>
      <c r="G5" s="1"/>
      <c r="H5" s="1" t="s">
        <v>16</v>
      </c>
      <c r="I5" s="1" t="s">
        <v>16</v>
      </c>
      <c r="J5" s="1"/>
      <c r="K5" s="1"/>
      <c r="L5" s="1"/>
    </row>
    <row r="6" spans="1:12" x14ac:dyDescent="0.3">
      <c r="A6" t="s">
        <v>24</v>
      </c>
      <c r="B6" s="1" t="s">
        <v>16</v>
      </c>
      <c r="C6" s="1" t="s">
        <v>16</v>
      </c>
      <c r="D6" s="1"/>
      <c r="E6" s="1" t="s">
        <v>16</v>
      </c>
      <c r="F6" s="1" t="s">
        <v>16</v>
      </c>
      <c r="G6" s="1"/>
      <c r="H6" s="1" t="s">
        <v>16</v>
      </c>
      <c r="I6" s="1" t="s">
        <v>16</v>
      </c>
      <c r="J6" s="1"/>
      <c r="K6" s="1"/>
      <c r="L6" s="1"/>
    </row>
    <row r="7" spans="1:12" x14ac:dyDescent="0.3">
      <c r="A7" t="s">
        <v>25</v>
      </c>
      <c r="B7" s="1"/>
      <c r="C7" s="1"/>
      <c r="D7" s="1" t="s">
        <v>16</v>
      </c>
      <c r="E7" s="1"/>
      <c r="F7" s="1" t="s">
        <v>16</v>
      </c>
      <c r="G7" s="1" t="s">
        <v>16</v>
      </c>
      <c r="H7" s="1"/>
      <c r="I7" s="1"/>
      <c r="J7" s="1" t="s">
        <v>16</v>
      </c>
      <c r="K7" s="1"/>
      <c r="L7" s="1" t="s">
        <v>16</v>
      </c>
    </row>
    <row r="8" spans="1:12" x14ac:dyDescent="0.3">
      <c r="A8" t="s">
        <v>26</v>
      </c>
      <c r="B8" s="1" t="s">
        <v>16</v>
      </c>
      <c r="C8" s="1" t="s">
        <v>16</v>
      </c>
      <c r="D8" s="1"/>
      <c r="E8" s="1" t="s">
        <v>16</v>
      </c>
      <c r="F8" s="1" t="s">
        <v>16</v>
      </c>
      <c r="G8" s="1"/>
      <c r="H8" s="1" t="s">
        <v>16</v>
      </c>
      <c r="I8" s="1" t="s">
        <v>16</v>
      </c>
      <c r="J8" s="1"/>
      <c r="K8" s="1"/>
      <c r="L8" s="1"/>
    </row>
    <row r="9" spans="1:12" x14ac:dyDescent="0.3">
      <c r="A9" t="s">
        <v>27</v>
      </c>
      <c r="B9" s="1" t="s">
        <v>16</v>
      </c>
      <c r="C9" s="1" t="s">
        <v>16</v>
      </c>
      <c r="D9" s="1"/>
      <c r="E9" s="1" t="s">
        <v>16</v>
      </c>
      <c r="F9" s="1" t="s">
        <v>16</v>
      </c>
      <c r="G9" s="1"/>
      <c r="H9" s="1" t="s">
        <v>16</v>
      </c>
      <c r="I9" s="1" t="s">
        <v>16</v>
      </c>
      <c r="J9" s="1"/>
      <c r="K9" s="1"/>
      <c r="L9" s="1"/>
    </row>
    <row r="10" spans="1:12" x14ac:dyDescent="0.3">
      <c r="A10" t="s">
        <v>28</v>
      </c>
      <c r="B10" s="1" t="s">
        <v>16</v>
      </c>
      <c r="C10" s="1" t="s">
        <v>16</v>
      </c>
      <c r="D10" s="1"/>
      <c r="E10" s="1" t="s">
        <v>16</v>
      </c>
      <c r="F10" s="1"/>
      <c r="G10" s="1"/>
      <c r="H10" s="1" t="s">
        <v>16</v>
      </c>
      <c r="I10" s="1" t="s">
        <v>16</v>
      </c>
      <c r="J10" s="1" t="s">
        <v>16</v>
      </c>
      <c r="K10" s="1"/>
      <c r="L10" s="1" t="s">
        <v>16</v>
      </c>
    </row>
    <row r="11" spans="1:12" x14ac:dyDescent="0.3">
      <c r="A11" t="s">
        <v>29</v>
      </c>
      <c r="B11" s="1"/>
      <c r="C11" s="1"/>
      <c r="D11" s="1" t="s">
        <v>16</v>
      </c>
      <c r="E11" s="1"/>
      <c r="F11" s="1" t="s">
        <v>16</v>
      </c>
      <c r="G11" s="1" t="s">
        <v>16</v>
      </c>
      <c r="H11" s="1"/>
      <c r="I11" s="1"/>
      <c r="J11" s="1" t="s">
        <v>16</v>
      </c>
      <c r="K11" s="1"/>
      <c r="L11" s="1" t="s">
        <v>16</v>
      </c>
    </row>
    <row r="12" spans="1:12" x14ac:dyDescent="0.3">
      <c r="A12" t="s">
        <v>30</v>
      </c>
      <c r="B12" s="1"/>
      <c r="C12" s="1"/>
      <c r="D12" s="1" t="s">
        <v>16</v>
      </c>
      <c r="E12" s="1"/>
      <c r="F12" s="1" t="s">
        <v>16</v>
      </c>
      <c r="G12" s="1" t="s">
        <v>16</v>
      </c>
      <c r="H12" s="1"/>
      <c r="I12" s="1"/>
      <c r="J12" s="1" t="s">
        <v>16</v>
      </c>
      <c r="K12" s="1"/>
      <c r="L12" s="1" t="s">
        <v>16</v>
      </c>
    </row>
    <row r="13" spans="1:12" x14ac:dyDescent="0.3">
      <c r="A13" t="s">
        <v>31</v>
      </c>
      <c r="B13" s="1" t="s">
        <v>16</v>
      </c>
      <c r="C13" s="1" t="s">
        <v>16</v>
      </c>
      <c r="D13" s="1"/>
      <c r="E13" s="1" t="s">
        <v>16</v>
      </c>
      <c r="F13" s="1"/>
      <c r="G13" s="1"/>
      <c r="H13" s="1" t="s">
        <v>16</v>
      </c>
      <c r="I13" s="1" t="s">
        <v>16</v>
      </c>
      <c r="J13" s="1" t="s">
        <v>16</v>
      </c>
      <c r="K13" s="1"/>
      <c r="L13" s="1" t="s">
        <v>16</v>
      </c>
    </row>
    <row r="14" spans="1:12" x14ac:dyDescent="0.3">
      <c r="A14" t="s">
        <v>32</v>
      </c>
      <c r="B14" s="1"/>
      <c r="C14" s="1"/>
      <c r="D14" s="1" t="s">
        <v>16</v>
      </c>
      <c r="E14" s="1"/>
      <c r="F14" s="1" t="s">
        <v>16</v>
      </c>
      <c r="G14" s="1" t="s">
        <v>16</v>
      </c>
      <c r="H14" s="1"/>
      <c r="I14" s="1"/>
      <c r="J14" s="1" t="s">
        <v>16</v>
      </c>
      <c r="K14" s="1"/>
      <c r="L14" s="1" t="s">
        <v>16</v>
      </c>
    </row>
    <row r="15" spans="1:12" x14ac:dyDescent="0.3">
      <c r="A15" t="s">
        <v>33</v>
      </c>
      <c r="B15" s="1" t="s">
        <v>16</v>
      </c>
      <c r="C15" s="1" t="s">
        <v>16</v>
      </c>
      <c r="D15" s="1"/>
      <c r="E15" s="1" t="s">
        <v>16</v>
      </c>
      <c r="F15" s="1" t="s">
        <v>16</v>
      </c>
      <c r="G15" s="1"/>
      <c r="H15" s="1" t="s">
        <v>16</v>
      </c>
      <c r="I15" s="1" t="s">
        <v>16</v>
      </c>
      <c r="J15" s="1"/>
      <c r="K15" s="1"/>
      <c r="L15" s="1"/>
    </row>
    <row r="16" spans="1:12" x14ac:dyDescent="0.3">
      <c r="A16" t="s">
        <v>34</v>
      </c>
      <c r="B16" s="1" t="s">
        <v>16</v>
      </c>
      <c r="C16" s="1" t="s">
        <v>16</v>
      </c>
      <c r="D16" s="1"/>
      <c r="E16" s="1" t="s">
        <v>16</v>
      </c>
      <c r="F16" s="1" t="s">
        <v>16</v>
      </c>
      <c r="G16" s="1"/>
      <c r="H16" s="1" t="s">
        <v>16</v>
      </c>
      <c r="I16" s="1" t="s">
        <v>16</v>
      </c>
      <c r="J16" s="1"/>
      <c r="K16" s="1"/>
      <c r="L16" s="1"/>
    </row>
    <row r="17" spans="1:12" x14ac:dyDescent="0.3">
      <c r="A17" t="s">
        <v>35</v>
      </c>
      <c r="B17" s="1" t="s">
        <v>16</v>
      </c>
      <c r="C17" s="1" t="s">
        <v>16</v>
      </c>
      <c r="D17" s="1"/>
      <c r="E17" s="1" t="s">
        <v>16</v>
      </c>
      <c r="F17" s="1" t="s">
        <v>16</v>
      </c>
      <c r="G17" s="1"/>
      <c r="H17" s="1" t="s">
        <v>16</v>
      </c>
      <c r="I17" s="1" t="s">
        <v>16</v>
      </c>
      <c r="J17" s="1"/>
      <c r="K17" s="1"/>
      <c r="L17" s="1"/>
    </row>
    <row r="18" spans="1:12" x14ac:dyDescent="0.3">
      <c r="A18" t="s">
        <v>36</v>
      </c>
      <c r="B18" s="1"/>
      <c r="C18" s="1"/>
      <c r="D18" s="1" t="s">
        <v>16</v>
      </c>
      <c r="E18" s="1"/>
      <c r="F18" s="1" t="s">
        <v>16</v>
      </c>
      <c r="G18" s="1" t="s">
        <v>16</v>
      </c>
      <c r="H18" s="1"/>
      <c r="I18" s="1"/>
      <c r="J18" s="1" t="s">
        <v>16</v>
      </c>
      <c r="K18" s="1"/>
      <c r="L18" s="1" t="s">
        <v>16</v>
      </c>
    </row>
    <row r="19" spans="1:12" x14ac:dyDescent="0.3">
      <c r="A19" t="s">
        <v>37</v>
      </c>
      <c r="B19" s="1"/>
      <c r="C19" s="1"/>
      <c r="D19" s="1" t="s">
        <v>16</v>
      </c>
      <c r="E19" s="1"/>
      <c r="F19" s="1" t="s">
        <v>16</v>
      </c>
      <c r="G19" s="1" t="s">
        <v>16</v>
      </c>
      <c r="H19" s="1"/>
      <c r="I19" s="1"/>
      <c r="J19" s="1" t="s">
        <v>16</v>
      </c>
      <c r="K19" s="1"/>
      <c r="L19" s="1" t="s">
        <v>16</v>
      </c>
    </row>
    <row r="20" spans="1:12" x14ac:dyDescent="0.3">
      <c r="A20" t="s">
        <v>38</v>
      </c>
      <c r="B20" s="1"/>
      <c r="C20" s="1"/>
      <c r="D20" s="1" t="s">
        <v>16</v>
      </c>
      <c r="E20" s="1"/>
      <c r="F20" s="1" t="s">
        <v>16</v>
      </c>
      <c r="G20" s="1" t="s">
        <v>16</v>
      </c>
      <c r="H20" s="1"/>
      <c r="I20" s="1"/>
      <c r="J20" s="1" t="s">
        <v>16</v>
      </c>
      <c r="K20" s="1"/>
      <c r="L20" s="1" t="s">
        <v>16</v>
      </c>
    </row>
    <row r="21" spans="1:12" x14ac:dyDescent="0.3">
      <c r="A21" t="s">
        <v>39</v>
      </c>
      <c r="B21" s="1" t="s">
        <v>16</v>
      </c>
      <c r="C21" s="1" t="s">
        <v>16</v>
      </c>
      <c r="D21" s="1"/>
      <c r="E21" s="1" t="s">
        <v>16</v>
      </c>
      <c r="F21" s="1"/>
      <c r="G21" s="1"/>
      <c r="H21" s="1" t="s">
        <v>16</v>
      </c>
      <c r="I21" s="1" t="s">
        <v>16</v>
      </c>
      <c r="J21" s="1" t="s">
        <v>16</v>
      </c>
      <c r="K21" s="1"/>
      <c r="L21" s="1" t="s">
        <v>16</v>
      </c>
    </row>
    <row r="22" spans="1:12" x14ac:dyDescent="0.3">
      <c r="A22" t="s">
        <v>40</v>
      </c>
      <c r="B22" s="1" t="s">
        <v>16</v>
      </c>
      <c r="C22" s="1" t="s">
        <v>16</v>
      </c>
      <c r="D22" s="1"/>
      <c r="E22" s="1" t="s">
        <v>16</v>
      </c>
      <c r="F22" s="1"/>
      <c r="G22" s="1"/>
      <c r="H22" s="1" t="s">
        <v>16</v>
      </c>
      <c r="I22" s="1" t="s">
        <v>16</v>
      </c>
      <c r="J22" s="1" t="s">
        <v>16</v>
      </c>
      <c r="K22" s="1"/>
      <c r="L22" s="1" t="s">
        <v>16</v>
      </c>
    </row>
    <row r="23" spans="1:12" x14ac:dyDescent="0.3">
      <c r="A23" t="s">
        <v>41</v>
      </c>
      <c r="B23" s="1" t="s">
        <v>16</v>
      </c>
      <c r="C23" s="1" t="s">
        <v>16</v>
      </c>
      <c r="D23" s="1"/>
      <c r="E23" s="1" t="s">
        <v>16</v>
      </c>
      <c r="F23" s="1"/>
      <c r="G23" s="1"/>
      <c r="H23" s="1" t="s">
        <v>16</v>
      </c>
      <c r="I23" s="1" t="s">
        <v>16</v>
      </c>
      <c r="J23" s="1" t="s">
        <v>16</v>
      </c>
      <c r="K23" s="1"/>
      <c r="L23" s="1" t="s">
        <v>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7"/>
  <dimension ref="A1:U23"/>
  <sheetViews>
    <sheetView workbookViewId="0">
      <selection activeCell="F25" sqref="F25"/>
    </sheetView>
  </sheetViews>
  <sheetFormatPr baseColWidth="10" defaultRowHeight="14.4" x14ac:dyDescent="0.3"/>
  <cols>
    <col min="1" max="1" width="12.6640625" bestFit="1" customWidth="1"/>
    <col min="2" max="2" width="5.88671875" bestFit="1" customWidth="1"/>
    <col min="3" max="3" width="8.6640625" bestFit="1" customWidth="1"/>
    <col min="4" max="4" width="5" bestFit="1" customWidth="1"/>
    <col min="5" max="5" width="9.6640625" customWidth="1"/>
    <col min="6" max="6" width="9.6640625" bestFit="1" customWidth="1"/>
    <col min="7" max="7" width="8.6640625" bestFit="1" customWidth="1"/>
    <col min="8" max="8" width="10.6640625" bestFit="1" customWidth="1"/>
    <col min="9" max="9" width="8.6640625" bestFit="1" customWidth="1"/>
    <col min="10" max="10" width="10.6640625" bestFit="1" customWidth="1"/>
    <col min="11" max="11" width="10.109375" customWidth="1"/>
    <col min="12" max="12" width="9" bestFit="1" customWidth="1"/>
    <col min="13" max="13" width="8.6640625" bestFit="1" customWidth="1"/>
    <col min="14" max="14" width="10" customWidth="1"/>
    <col min="15" max="15" width="6" bestFit="1" customWidth="1"/>
    <col min="16" max="16" width="10.6640625" bestFit="1" customWidth="1"/>
    <col min="17" max="17" width="9.6640625" customWidth="1"/>
    <col min="18" max="18" width="8.6640625" bestFit="1" customWidth="1"/>
    <col min="19" max="19" width="10.6640625" bestFit="1" customWidth="1"/>
    <col min="20" max="20" width="7.33203125" bestFit="1" customWidth="1"/>
    <col min="21" max="21" width="10.109375" customWidth="1"/>
  </cols>
  <sheetData>
    <row r="1" spans="1:21" x14ac:dyDescent="0.3">
      <c r="A1">
        <v>39</v>
      </c>
      <c r="B1" t="s">
        <v>21</v>
      </c>
      <c r="F1" t="s">
        <v>22</v>
      </c>
      <c r="L1" t="s">
        <v>18</v>
      </c>
      <c r="N1" t="s">
        <v>19</v>
      </c>
      <c r="Q1" t="s">
        <v>20</v>
      </c>
      <c r="U1" t="s">
        <v>17</v>
      </c>
    </row>
    <row r="2" spans="1:21" x14ac:dyDescent="0.3">
      <c r="B2" s="1" t="s">
        <v>2</v>
      </c>
      <c r="C2" s="1" t="s">
        <v>0</v>
      </c>
      <c r="D2" s="1" t="s">
        <v>2</v>
      </c>
      <c r="E2" s="1" t="s">
        <v>46</v>
      </c>
      <c r="F2" s="1" t="s">
        <v>5</v>
      </c>
      <c r="G2" s="1" t="s">
        <v>0</v>
      </c>
      <c r="H2" s="1" t="s">
        <v>1</v>
      </c>
      <c r="I2" s="1" t="s">
        <v>0</v>
      </c>
      <c r="J2" s="1" t="s">
        <v>1</v>
      </c>
      <c r="K2" s="1" t="s">
        <v>46</v>
      </c>
      <c r="L2" s="1" t="s">
        <v>0</v>
      </c>
      <c r="M2" s="1" t="s">
        <v>8</v>
      </c>
      <c r="N2" s="1" t="s">
        <v>46</v>
      </c>
      <c r="O2" s="1" t="s">
        <v>2</v>
      </c>
      <c r="P2" s="1" t="s">
        <v>1</v>
      </c>
      <c r="Q2" s="1" t="s">
        <v>46</v>
      </c>
      <c r="R2" s="1" t="s">
        <v>0</v>
      </c>
      <c r="S2" s="1" t="s">
        <v>1</v>
      </c>
      <c r="T2" s="1" t="s">
        <v>4</v>
      </c>
      <c r="U2" s="1" t="s">
        <v>46</v>
      </c>
    </row>
    <row r="3" spans="1:21" x14ac:dyDescent="0.3">
      <c r="B3" s="1">
        <v>8</v>
      </c>
      <c r="C3" s="1">
        <v>8</v>
      </c>
      <c r="D3" s="1">
        <v>10</v>
      </c>
      <c r="E3" s="1">
        <v>13.75</v>
      </c>
      <c r="F3" s="1">
        <v>8.25</v>
      </c>
      <c r="G3" s="1">
        <v>9.75</v>
      </c>
      <c r="H3" s="1">
        <v>10.25</v>
      </c>
      <c r="I3" s="1">
        <v>13.75</v>
      </c>
      <c r="J3" s="1">
        <v>13.75</v>
      </c>
      <c r="K3" s="1">
        <v>16</v>
      </c>
      <c r="L3" s="1">
        <v>8</v>
      </c>
      <c r="M3" s="1">
        <v>13.5</v>
      </c>
      <c r="N3" s="1">
        <v>8</v>
      </c>
      <c r="O3" s="1">
        <v>10.25</v>
      </c>
      <c r="P3" s="1">
        <v>13.75</v>
      </c>
      <c r="Q3" s="1">
        <v>8</v>
      </c>
      <c r="R3" s="1">
        <v>8</v>
      </c>
      <c r="S3" s="1">
        <v>13.75</v>
      </c>
      <c r="T3" s="1">
        <v>16</v>
      </c>
      <c r="U3" s="1">
        <v>8</v>
      </c>
    </row>
    <row r="4" spans="1:21" x14ac:dyDescent="0.3">
      <c r="B4" s="1">
        <v>10</v>
      </c>
      <c r="C4" s="1">
        <v>12</v>
      </c>
      <c r="D4" s="1">
        <v>12.5</v>
      </c>
      <c r="E4" s="1">
        <v>15.75</v>
      </c>
      <c r="F4" s="1">
        <v>9.75</v>
      </c>
      <c r="G4" s="1">
        <v>13.75</v>
      </c>
      <c r="H4" s="1">
        <v>12.25</v>
      </c>
      <c r="I4" s="1">
        <v>15.75</v>
      </c>
      <c r="J4" s="1">
        <v>15.75</v>
      </c>
      <c r="K4" s="1">
        <v>18</v>
      </c>
      <c r="L4" s="1">
        <v>12</v>
      </c>
      <c r="M4" s="1">
        <v>15.5</v>
      </c>
      <c r="N4" s="1">
        <v>10</v>
      </c>
      <c r="O4" s="1">
        <v>12.25</v>
      </c>
      <c r="P4" s="1">
        <v>15.75</v>
      </c>
      <c r="Q4" s="1">
        <v>10</v>
      </c>
      <c r="R4" s="1">
        <v>12</v>
      </c>
      <c r="S4" s="1">
        <v>15.75</v>
      </c>
      <c r="T4" s="1">
        <v>18</v>
      </c>
      <c r="U4" s="1">
        <v>10</v>
      </c>
    </row>
    <row r="5" spans="1:21" x14ac:dyDescent="0.3">
      <c r="A5" t="s">
        <v>23</v>
      </c>
      <c r="B5" s="1" t="s">
        <v>16</v>
      </c>
      <c r="C5" s="1" t="s">
        <v>16</v>
      </c>
      <c r="D5" s="1" t="s">
        <v>16</v>
      </c>
      <c r="E5" s="1"/>
      <c r="F5" s="1"/>
      <c r="G5" s="1" t="s">
        <v>16</v>
      </c>
      <c r="H5" s="1"/>
      <c r="I5" s="1" t="s">
        <v>16</v>
      </c>
      <c r="J5" s="1"/>
      <c r="K5" s="1"/>
      <c r="L5" s="1" t="s">
        <v>16</v>
      </c>
      <c r="M5" s="1"/>
      <c r="N5" s="1"/>
      <c r="O5" s="1" t="s">
        <v>16</v>
      </c>
      <c r="P5" s="1"/>
      <c r="Q5" s="1"/>
      <c r="R5" s="1" t="s">
        <v>16</v>
      </c>
      <c r="S5" s="1"/>
      <c r="T5" s="1"/>
      <c r="U5" s="1"/>
    </row>
    <row r="6" spans="1:21" x14ac:dyDescent="0.3">
      <c r="A6" t="s">
        <v>24</v>
      </c>
      <c r="B6" s="1" t="s">
        <v>16</v>
      </c>
      <c r="C6" s="1" t="s">
        <v>16</v>
      </c>
      <c r="D6" s="1" t="s">
        <v>16</v>
      </c>
      <c r="E6" s="1"/>
      <c r="F6" s="1"/>
      <c r="G6" s="1" t="s">
        <v>16</v>
      </c>
      <c r="H6" s="1"/>
      <c r="I6" s="1" t="s">
        <v>16</v>
      </c>
      <c r="J6" s="1"/>
      <c r="K6" s="1"/>
      <c r="L6" s="1" t="s">
        <v>16</v>
      </c>
      <c r="M6" s="1"/>
      <c r="N6" s="1"/>
      <c r="O6" s="1" t="s">
        <v>16</v>
      </c>
      <c r="P6" s="1"/>
      <c r="Q6" s="1"/>
      <c r="R6" s="1" t="s">
        <v>16</v>
      </c>
      <c r="S6" s="1"/>
      <c r="T6" s="1"/>
      <c r="U6" s="1"/>
    </row>
    <row r="7" spans="1:21" x14ac:dyDescent="0.3">
      <c r="A7" t="s">
        <v>25</v>
      </c>
      <c r="B7" s="1" t="s">
        <v>16</v>
      </c>
      <c r="C7" s="1"/>
      <c r="D7" s="1" t="s">
        <v>16</v>
      </c>
      <c r="E7" s="1" t="s">
        <v>16</v>
      </c>
      <c r="F7" s="1"/>
      <c r="G7" s="1"/>
      <c r="H7" s="1" t="s">
        <v>16</v>
      </c>
      <c r="I7" s="1"/>
      <c r="J7" s="1" t="s">
        <v>16</v>
      </c>
      <c r="K7" s="1" t="s">
        <v>16</v>
      </c>
      <c r="L7" s="1"/>
      <c r="M7" s="1"/>
      <c r="N7" s="1" t="s">
        <v>16</v>
      </c>
      <c r="O7" s="1" t="s">
        <v>16</v>
      </c>
      <c r="P7" s="1" t="s">
        <v>16</v>
      </c>
      <c r="Q7" s="1" t="s">
        <v>16</v>
      </c>
      <c r="R7" s="1"/>
      <c r="S7" s="1" t="s">
        <v>16</v>
      </c>
      <c r="T7" s="1"/>
      <c r="U7" s="1" t="s">
        <v>16</v>
      </c>
    </row>
    <row r="8" spans="1:21" x14ac:dyDescent="0.3">
      <c r="A8" t="s">
        <v>26</v>
      </c>
      <c r="B8" s="1" t="s">
        <v>16</v>
      </c>
      <c r="C8" s="1" t="s">
        <v>16</v>
      </c>
      <c r="D8" s="1" t="s">
        <v>16</v>
      </c>
      <c r="E8" s="1"/>
      <c r="F8" s="1"/>
      <c r="G8" s="1" t="s">
        <v>16</v>
      </c>
      <c r="H8" s="1"/>
      <c r="I8" s="1" t="s">
        <v>16</v>
      </c>
      <c r="J8" s="1"/>
      <c r="K8" s="1"/>
      <c r="L8" s="1" t="s">
        <v>16</v>
      </c>
      <c r="M8" s="1"/>
      <c r="N8" s="1"/>
      <c r="O8" s="1" t="s">
        <v>16</v>
      </c>
      <c r="P8" s="1"/>
      <c r="Q8" s="1"/>
      <c r="R8" s="1" t="s">
        <v>16</v>
      </c>
      <c r="S8" s="1"/>
      <c r="T8" s="1"/>
      <c r="U8" s="1"/>
    </row>
    <row r="9" spans="1:21" x14ac:dyDescent="0.3">
      <c r="A9" t="s">
        <v>27</v>
      </c>
      <c r="B9" s="1" t="s">
        <v>16</v>
      </c>
      <c r="C9" s="1" t="s">
        <v>16</v>
      </c>
      <c r="D9" s="1" t="s">
        <v>16</v>
      </c>
      <c r="E9" s="1"/>
      <c r="F9" s="1"/>
      <c r="G9" s="1" t="s">
        <v>16</v>
      </c>
      <c r="H9" s="1"/>
      <c r="I9" s="1" t="s">
        <v>16</v>
      </c>
      <c r="J9" s="1"/>
      <c r="K9" s="1"/>
      <c r="L9" s="1" t="s">
        <v>16</v>
      </c>
      <c r="M9" s="1"/>
      <c r="N9" s="1"/>
      <c r="O9" s="1" t="s">
        <v>16</v>
      </c>
      <c r="P9" s="1"/>
      <c r="Q9" s="1"/>
      <c r="R9" s="1" t="s">
        <v>16</v>
      </c>
      <c r="S9" s="1"/>
      <c r="T9" s="1"/>
      <c r="U9" s="1"/>
    </row>
    <row r="10" spans="1:21" x14ac:dyDescent="0.3">
      <c r="A10" t="s">
        <v>28</v>
      </c>
      <c r="B10" s="1"/>
      <c r="C10" s="1" t="s">
        <v>16</v>
      </c>
      <c r="D10" s="1"/>
      <c r="E10" s="1"/>
      <c r="F10" s="1"/>
      <c r="G10" s="1" t="s">
        <v>16</v>
      </c>
      <c r="H10" s="1"/>
      <c r="I10" s="1" t="s">
        <v>16</v>
      </c>
      <c r="J10" s="1"/>
      <c r="K10" s="1"/>
      <c r="L10" s="1" t="s">
        <v>16</v>
      </c>
      <c r="M10" s="1"/>
      <c r="N10" s="1"/>
      <c r="O10" s="1"/>
      <c r="P10" s="1"/>
      <c r="Q10" s="1"/>
      <c r="R10" s="1" t="s">
        <v>16</v>
      </c>
      <c r="S10" s="1"/>
      <c r="T10" s="1"/>
      <c r="U10" s="1" t="s">
        <v>6</v>
      </c>
    </row>
    <row r="11" spans="1:21" x14ac:dyDescent="0.3">
      <c r="A11" t="s">
        <v>29</v>
      </c>
      <c r="B11" s="1" t="s">
        <v>16</v>
      </c>
      <c r="C11" s="1"/>
      <c r="D11" s="1" t="s">
        <v>16</v>
      </c>
      <c r="E11" s="1" t="s">
        <v>16</v>
      </c>
      <c r="F11" s="1"/>
      <c r="G11" s="1"/>
      <c r="H11" s="1" t="s">
        <v>16</v>
      </c>
      <c r="I11" s="1"/>
      <c r="J11" s="1" t="s">
        <v>16</v>
      </c>
      <c r="K11" s="1" t="s">
        <v>16</v>
      </c>
      <c r="L11" s="1"/>
      <c r="M11" s="1"/>
      <c r="N11" s="1" t="s">
        <v>16</v>
      </c>
      <c r="O11" s="1" t="s">
        <v>16</v>
      </c>
      <c r="P11" s="1" t="s">
        <v>16</v>
      </c>
      <c r="Q11" s="1" t="s">
        <v>16</v>
      </c>
      <c r="R11" s="1"/>
      <c r="S11" s="1" t="s">
        <v>16</v>
      </c>
      <c r="T11" s="1"/>
      <c r="U11" s="1" t="s">
        <v>16</v>
      </c>
    </row>
    <row r="12" spans="1:21" x14ac:dyDescent="0.3">
      <c r="A12" t="s">
        <v>30</v>
      </c>
      <c r="B12" s="1" t="s">
        <v>16</v>
      </c>
      <c r="C12" s="1"/>
      <c r="D12" s="1" t="s">
        <v>16</v>
      </c>
      <c r="E12" s="1" t="s">
        <v>16</v>
      </c>
      <c r="F12" s="1"/>
      <c r="G12" s="1"/>
      <c r="H12" s="1" t="s">
        <v>16</v>
      </c>
      <c r="I12" s="1"/>
      <c r="J12" s="1" t="s">
        <v>16</v>
      </c>
      <c r="K12" s="1" t="s">
        <v>16</v>
      </c>
      <c r="L12" s="1"/>
      <c r="M12" s="1"/>
      <c r="N12" s="1" t="s">
        <v>16</v>
      </c>
      <c r="O12" s="1" t="s">
        <v>16</v>
      </c>
      <c r="P12" s="1" t="s">
        <v>16</v>
      </c>
      <c r="Q12" s="1" t="s">
        <v>16</v>
      </c>
      <c r="R12" s="1"/>
      <c r="S12" s="1" t="s">
        <v>16</v>
      </c>
      <c r="T12" s="1"/>
      <c r="U12" s="1" t="s">
        <v>16</v>
      </c>
    </row>
    <row r="13" spans="1:21" x14ac:dyDescent="0.3">
      <c r="A13" t="s">
        <v>31</v>
      </c>
      <c r="B13" s="1"/>
      <c r="C13" s="1" t="s">
        <v>16</v>
      </c>
      <c r="D13" s="1"/>
      <c r="E13" s="1"/>
      <c r="F13" s="1"/>
      <c r="G13" s="1" t="s">
        <v>16</v>
      </c>
      <c r="H13" s="1"/>
      <c r="I13" s="1" t="s">
        <v>16</v>
      </c>
      <c r="J13" s="1"/>
      <c r="K13" s="1"/>
      <c r="L13" s="1" t="s">
        <v>16</v>
      </c>
      <c r="M13" s="1"/>
      <c r="N13" s="1"/>
      <c r="O13" s="1"/>
      <c r="P13" s="1"/>
      <c r="Q13" s="1"/>
      <c r="R13" s="1" t="s">
        <v>16</v>
      </c>
      <c r="S13" s="1"/>
      <c r="T13" s="1"/>
      <c r="U13" s="1"/>
    </row>
    <row r="14" spans="1:21" x14ac:dyDescent="0.3">
      <c r="A14" t="s">
        <v>32</v>
      </c>
      <c r="B14" s="1" t="s">
        <v>16</v>
      </c>
      <c r="C14" s="1"/>
      <c r="D14" s="1" t="s">
        <v>16</v>
      </c>
      <c r="E14" s="1" t="s">
        <v>16</v>
      </c>
      <c r="F14" s="1"/>
      <c r="G14" s="1"/>
      <c r="H14" s="1" t="s">
        <v>16</v>
      </c>
      <c r="I14" s="1"/>
      <c r="J14" s="1" t="s">
        <v>16</v>
      </c>
      <c r="K14" s="1" t="s">
        <v>16</v>
      </c>
      <c r="L14" s="1"/>
      <c r="M14" s="1"/>
      <c r="N14" s="1" t="s">
        <v>16</v>
      </c>
      <c r="O14" s="1" t="s">
        <v>16</v>
      </c>
      <c r="P14" s="1" t="s">
        <v>16</v>
      </c>
      <c r="Q14" s="1" t="s">
        <v>16</v>
      </c>
      <c r="R14" s="1"/>
      <c r="S14" s="1" t="s">
        <v>16</v>
      </c>
      <c r="T14" s="1"/>
      <c r="U14" s="1" t="s">
        <v>16</v>
      </c>
    </row>
    <row r="15" spans="1:21" x14ac:dyDescent="0.3">
      <c r="A15" t="s">
        <v>33</v>
      </c>
      <c r="B15" s="1" t="s">
        <v>16</v>
      </c>
      <c r="C15" s="1" t="s">
        <v>16</v>
      </c>
      <c r="D15" s="1" t="s">
        <v>16</v>
      </c>
      <c r="E15" s="1"/>
      <c r="F15" s="1"/>
      <c r="G15" s="1" t="s">
        <v>16</v>
      </c>
      <c r="H15" s="1"/>
      <c r="I15" s="1" t="s">
        <v>16</v>
      </c>
      <c r="J15" s="1"/>
      <c r="K15" s="1"/>
      <c r="L15" s="1" t="s">
        <v>16</v>
      </c>
      <c r="M15" s="1"/>
      <c r="N15" s="1"/>
      <c r="O15" s="1" t="s">
        <v>16</v>
      </c>
      <c r="P15" s="1"/>
      <c r="Q15" s="1"/>
      <c r="R15" s="1" t="s">
        <v>16</v>
      </c>
      <c r="S15" s="1"/>
      <c r="T15" s="1"/>
      <c r="U15" s="1"/>
    </row>
    <row r="16" spans="1:21" x14ac:dyDescent="0.3">
      <c r="A16" t="s">
        <v>34</v>
      </c>
      <c r="B16" s="1" t="s">
        <v>16</v>
      </c>
      <c r="C16" s="1" t="s">
        <v>16</v>
      </c>
      <c r="D16" s="1" t="s">
        <v>16</v>
      </c>
      <c r="E16" s="1"/>
      <c r="F16" s="1"/>
      <c r="G16" s="1" t="s">
        <v>16</v>
      </c>
      <c r="H16" s="1"/>
      <c r="I16" s="1" t="s">
        <v>16</v>
      </c>
      <c r="J16" s="1"/>
      <c r="K16" s="1"/>
      <c r="L16" s="1" t="s">
        <v>16</v>
      </c>
      <c r="M16" s="1"/>
      <c r="N16" s="1"/>
      <c r="O16" s="1" t="s">
        <v>16</v>
      </c>
      <c r="P16" s="1"/>
      <c r="Q16" s="1"/>
      <c r="R16" s="1" t="s">
        <v>16</v>
      </c>
      <c r="S16" s="1"/>
      <c r="T16" s="1"/>
      <c r="U16" s="1"/>
    </row>
    <row r="17" spans="1:21" x14ac:dyDescent="0.3">
      <c r="A17" t="s">
        <v>35</v>
      </c>
      <c r="B17" s="1" t="s">
        <v>16</v>
      </c>
      <c r="C17" s="1" t="s">
        <v>16</v>
      </c>
      <c r="D17" s="1" t="s">
        <v>16</v>
      </c>
      <c r="E17" s="1"/>
      <c r="F17" s="1"/>
      <c r="G17" s="1" t="s">
        <v>16</v>
      </c>
      <c r="H17" s="1"/>
      <c r="I17" s="1" t="s">
        <v>16</v>
      </c>
      <c r="J17" s="1"/>
      <c r="K17" s="1"/>
      <c r="L17" s="1" t="s">
        <v>16</v>
      </c>
      <c r="M17" s="1"/>
      <c r="N17" s="1"/>
      <c r="O17" s="1" t="s">
        <v>16</v>
      </c>
      <c r="P17" s="1"/>
      <c r="Q17" s="1"/>
      <c r="R17" s="1" t="s">
        <v>16</v>
      </c>
      <c r="S17" s="1"/>
      <c r="T17" s="1"/>
      <c r="U17" s="1"/>
    </row>
    <row r="18" spans="1:21" x14ac:dyDescent="0.3">
      <c r="A18" t="s">
        <v>36</v>
      </c>
      <c r="B18" s="1" t="s">
        <v>16</v>
      </c>
      <c r="C18" s="1"/>
      <c r="D18" s="1" t="s">
        <v>16</v>
      </c>
      <c r="E18" s="1" t="s">
        <v>16</v>
      </c>
      <c r="F18" s="1"/>
      <c r="G18" s="1"/>
      <c r="H18" s="1" t="s">
        <v>16</v>
      </c>
      <c r="I18" s="1"/>
      <c r="J18" s="1" t="s">
        <v>16</v>
      </c>
      <c r="K18" s="1" t="s">
        <v>16</v>
      </c>
      <c r="L18" s="1"/>
      <c r="M18" s="1"/>
      <c r="N18" s="1" t="s">
        <v>16</v>
      </c>
      <c r="O18" s="1" t="s">
        <v>16</v>
      </c>
      <c r="P18" s="1" t="s">
        <v>16</v>
      </c>
      <c r="Q18" s="1" t="s">
        <v>16</v>
      </c>
      <c r="R18" s="1"/>
      <c r="S18" s="1" t="s">
        <v>16</v>
      </c>
      <c r="T18" s="1"/>
      <c r="U18" s="1" t="s">
        <v>16</v>
      </c>
    </row>
    <row r="19" spans="1:21" x14ac:dyDescent="0.3">
      <c r="A19" t="s">
        <v>37</v>
      </c>
      <c r="B19" s="1" t="s">
        <v>16</v>
      </c>
      <c r="C19" s="1"/>
      <c r="D19" s="1" t="s">
        <v>16</v>
      </c>
      <c r="E19" s="1" t="s">
        <v>16</v>
      </c>
      <c r="F19" s="1" t="s">
        <v>7</v>
      </c>
      <c r="G19" s="1" t="s">
        <v>7</v>
      </c>
      <c r="H19" s="1" t="s">
        <v>16</v>
      </c>
      <c r="I19" s="1" t="s">
        <v>7</v>
      </c>
      <c r="J19" s="1" t="s">
        <v>16</v>
      </c>
      <c r="K19" s="1" t="s">
        <v>16</v>
      </c>
      <c r="L19" s="1"/>
      <c r="M19" s="1"/>
      <c r="N19" s="1" t="s">
        <v>16</v>
      </c>
      <c r="O19" s="1" t="s">
        <v>16</v>
      </c>
      <c r="P19" s="1" t="s">
        <v>16</v>
      </c>
      <c r="Q19" s="1" t="s">
        <v>16</v>
      </c>
      <c r="R19" s="1"/>
      <c r="S19" s="1" t="s">
        <v>16</v>
      </c>
      <c r="T19" s="1"/>
      <c r="U19" s="1" t="s">
        <v>16</v>
      </c>
    </row>
    <row r="20" spans="1:21" x14ac:dyDescent="0.3">
      <c r="A20" t="s">
        <v>38</v>
      </c>
      <c r="B20" s="1" t="s">
        <v>16</v>
      </c>
      <c r="C20" s="1"/>
      <c r="D20" s="1" t="s">
        <v>16</v>
      </c>
      <c r="E20" s="1" t="s">
        <v>16</v>
      </c>
      <c r="F20" s="1"/>
      <c r="G20" s="1"/>
      <c r="H20" s="1" t="s">
        <v>16</v>
      </c>
      <c r="I20" s="1"/>
      <c r="J20" s="1" t="s">
        <v>16</v>
      </c>
      <c r="K20" s="1" t="s">
        <v>16</v>
      </c>
      <c r="L20" s="1"/>
      <c r="M20" s="1"/>
      <c r="N20" s="1" t="s">
        <v>16</v>
      </c>
      <c r="O20" s="1" t="s">
        <v>16</v>
      </c>
      <c r="P20" s="1" t="s">
        <v>16</v>
      </c>
      <c r="Q20" s="1" t="s">
        <v>16</v>
      </c>
      <c r="R20" s="1"/>
      <c r="S20" s="1" t="s">
        <v>16</v>
      </c>
      <c r="T20" s="1"/>
      <c r="U20" s="1" t="s">
        <v>16</v>
      </c>
    </row>
    <row r="21" spans="1:21" x14ac:dyDescent="0.3">
      <c r="A21" t="s">
        <v>39</v>
      </c>
      <c r="B21" s="1"/>
      <c r="C21" s="1" t="s">
        <v>16</v>
      </c>
      <c r="D21" s="1"/>
      <c r="E21" s="1"/>
      <c r="F21" s="1"/>
      <c r="G21" s="1" t="s">
        <v>16</v>
      </c>
      <c r="H21" s="1"/>
      <c r="I21" s="1" t="s">
        <v>16</v>
      </c>
      <c r="J21" s="1"/>
      <c r="K21" s="1"/>
      <c r="L21" s="1" t="s">
        <v>16</v>
      </c>
      <c r="M21" s="1"/>
      <c r="N21" s="1"/>
      <c r="O21" s="1"/>
      <c r="P21" s="1"/>
      <c r="Q21" s="1"/>
      <c r="R21" s="1" t="s">
        <v>16</v>
      </c>
      <c r="S21" s="1"/>
      <c r="T21" s="1"/>
      <c r="U21" s="1"/>
    </row>
    <row r="22" spans="1:21" x14ac:dyDescent="0.3">
      <c r="A22" t="s">
        <v>40</v>
      </c>
      <c r="B22" s="1"/>
      <c r="C22" s="1" t="s">
        <v>16</v>
      </c>
      <c r="D22" s="1"/>
      <c r="E22" s="1"/>
      <c r="F22" s="1"/>
      <c r="G22" s="1" t="s">
        <v>16</v>
      </c>
      <c r="H22" s="1"/>
      <c r="I22" s="1" t="s">
        <v>16</v>
      </c>
      <c r="J22" s="1"/>
      <c r="K22" s="1"/>
      <c r="L22" s="1" t="s">
        <v>16</v>
      </c>
      <c r="M22" s="1"/>
      <c r="N22" s="1"/>
      <c r="O22" s="1"/>
      <c r="P22" s="1"/>
      <c r="Q22" s="1"/>
      <c r="R22" s="1" t="s">
        <v>16</v>
      </c>
      <c r="S22" s="1"/>
      <c r="T22" s="1"/>
      <c r="U22" s="1" t="s">
        <v>6</v>
      </c>
    </row>
    <row r="23" spans="1:21" x14ac:dyDescent="0.3">
      <c r="A23" t="s">
        <v>41</v>
      </c>
      <c r="B23" s="1"/>
      <c r="C23" s="1" t="s">
        <v>16</v>
      </c>
      <c r="D23" s="1"/>
      <c r="E23" s="1"/>
      <c r="F23" s="1"/>
      <c r="G23" s="1" t="s">
        <v>16</v>
      </c>
      <c r="H23" s="1"/>
      <c r="I23" s="1" t="s">
        <v>16</v>
      </c>
      <c r="J23" s="1"/>
      <c r="K23" s="1"/>
      <c r="L23" s="1" t="s">
        <v>16</v>
      </c>
      <c r="M23" s="1"/>
      <c r="N23" s="1"/>
      <c r="O23" s="1"/>
      <c r="P23" s="1"/>
      <c r="Q23" s="1"/>
      <c r="R23" s="1" t="s">
        <v>16</v>
      </c>
      <c r="S23" s="1"/>
      <c r="T23" s="1"/>
      <c r="U23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8"/>
  <dimension ref="A1:T23"/>
  <sheetViews>
    <sheetView workbookViewId="0">
      <selection activeCell="M1" sqref="M1:N1048576"/>
    </sheetView>
  </sheetViews>
  <sheetFormatPr baseColWidth="10" defaultRowHeight="14.4" x14ac:dyDescent="0.3"/>
  <cols>
    <col min="1" max="1" width="12.6640625" bestFit="1" customWidth="1"/>
    <col min="2" max="2" width="8.6640625" bestFit="1" customWidth="1"/>
    <col min="3" max="3" width="5" bestFit="1" customWidth="1"/>
    <col min="4" max="4" width="10.6640625" bestFit="1" customWidth="1"/>
    <col min="5" max="5" width="6.109375" bestFit="1" customWidth="1"/>
    <col min="6" max="7" width="8.6640625" bestFit="1" customWidth="1"/>
    <col min="8" max="8" width="10.6640625" bestFit="1" customWidth="1"/>
    <col min="9" max="9" width="9.44140625" customWidth="1"/>
    <col min="10" max="10" width="9" bestFit="1" customWidth="1"/>
    <col min="11" max="12" width="8.6640625" bestFit="1" customWidth="1"/>
    <col min="13" max="14" width="10.109375" customWidth="1"/>
    <col min="15" max="15" width="10.6640625" bestFit="1" customWidth="1"/>
    <col min="16" max="16" width="9.33203125" bestFit="1" customWidth="1"/>
    <col min="17" max="17" width="8.6640625" bestFit="1" customWidth="1"/>
    <col min="18" max="18" width="10.6640625" bestFit="1" customWidth="1"/>
    <col min="19" max="19" width="7.33203125" bestFit="1" customWidth="1"/>
    <col min="20" max="20" width="8.6640625" bestFit="1" customWidth="1"/>
  </cols>
  <sheetData>
    <row r="1" spans="1:20" x14ac:dyDescent="0.3">
      <c r="A1">
        <v>40</v>
      </c>
      <c r="B1" t="s">
        <v>21</v>
      </c>
      <c r="E1" t="s">
        <v>22</v>
      </c>
      <c r="J1" t="s">
        <v>18</v>
      </c>
      <c r="M1" t="s">
        <v>19</v>
      </c>
      <c r="P1" t="s">
        <v>20</v>
      </c>
      <c r="T1" t="s">
        <v>17</v>
      </c>
    </row>
    <row r="2" spans="1:20" x14ac:dyDescent="0.3">
      <c r="B2" s="1" t="s">
        <v>0</v>
      </c>
      <c r="C2" s="1" t="s">
        <v>2</v>
      </c>
      <c r="D2" s="1" t="s">
        <v>1</v>
      </c>
      <c r="E2" s="1" t="s">
        <v>2</v>
      </c>
      <c r="F2" s="1" t="s">
        <v>0</v>
      </c>
      <c r="G2" s="1" t="s">
        <v>0</v>
      </c>
      <c r="H2" s="1" t="s">
        <v>1</v>
      </c>
      <c r="I2" s="1" t="s">
        <v>46</v>
      </c>
      <c r="J2" s="1" t="s">
        <v>3</v>
      </c>
      <c r="K2" s="1" t="s">
        <v>0</v>
      </c>
      <c r="L2" s="1" t="s">
        <v>8</v>
      </c>
      <c r="M2" s="1" t="s">
        <v>46</v>
      </c>
      <c r="N2" s="1" t="s">
        <v>46</v>
      </c>
      <c r="O2" s="1" t="s">
        <v>1</v>
      </c>
      <c r="P2" s="1" t="s">
        <v>46</v>
      </c>
      <c r="Q2" s="1" t="s">
        <v>0</v>
      </c>
      <c r="R2" s="1" t="s">
        <v>1</v>
      </c>
      <c r="S2" s="1" t="s">
        <v>4</v>
      </c>
      <c r="T2" s="1" t="s">
        <v>3</v>
      </c>
    </row>
    <row r="3" spans="1:20" x14ac:dyDescent="0.3">
      <c r="B3" s="1">
        <v>8</v>
      </c>
      <c r="C3" s="1">
        <v>8</v>
      </c>
      <c r="D3" s="1">
        <v>16.25</v>
      </c>
      <c r="E3" s="1">
        <v>8</v>
      </c>
      <c r="F3" s="1">
        <v>8.5</v>
      </c>
      <c r="G3" s="1">
        <v>13.5</v>
      </c>
      <c r="H3" s="1">
        <v>13.75</v>
      </c>
      <c r="I3" s="1">
        <v>16</v>
      </c>
      <c r="J3" s="1">
        <v>8</v>
      </c>
      <c r="K3" s="1">
        <v>8</v>
      </c>
      <c r="L3" s="1">
        <v>13</v>
      </c>
      <c r="M3" s="1">
        <v>8</v>
      </c>
      <c r="N3" s="1">
        <v>10</v>
      </c>
      <c r="O3" s="1">
        <v>13.75</v>
      </c>
      <c r="P3" s="1">
        <v>8</v>
      </c>
      <c r="Q3" s="1">
        <v>8</v>
      </c>
      <c r="R3" s="1">
        <v>13.75</v>
      </c>
      <c r="S3" s="1">
        <v>16</v>
      </c>
      <c r="T3" s="1">
        <v>8</v>
      </c>
    </row>
    <row r="4" spans="1:20" x14ac:dyDescent="0.3">
      <c r="B4" s="1">
        <v>12</v>
      </c>
      <c r="C4" s="1">
        <v>12.5</v>
      </c>
      <c r="D4" s="1">
        <v>18.25</v>
      </c>
      <c r="E4" s="1">
        <v>10</v>
      </c>
      <c r="F4" s="1">
        <v>12.5</v>
      </c>
      <c r="G4" s="1">
        <v>15.5</v>
      </c>
      <c r="H4" s="1">
        <v>15.75</v>
      </c>
      <c r="I4" s="1">
        <v>18</v>
      </c>
      <c r="J4" s="1">
        <v>11</v>
      </c>
      <c r="K4" s="1">
        <v>12</v>
      </c>
      <c r="L4" s="1">
        <v>15</v>
      </c>
      <c r="M4" s="1">
        <v>10</v>
      </c>
      <c r="N4" s="1">
        <v>12</v>
      </c>
      <c r="O4" s="1">
        <v>15.75</v>
      </c>
      <c r="P4" s="1">
        <v>10</v>
      </c>
      <c r="Q4" s="1">
        <v>12</v>
      </c>
      <c r="R4" s="1">
        <v>15.75</v>
      </c>
      <c r="S4" s="1">
        <v>18</v>
      </c>
      <c r="T4" s="1">
        <v>12</v>
      </c>
    </row>
    <row r="5" spans="1:20" x14ac:dyDescent="0.3">
      <c r="A5" t="s">
        <v>23</v>
      </c>
      <c r="B5" s="1" t="s">
        <v>16</v>
      </c>
      <c r="C5" s="1" t="s">
        <v>16</v>
      </c>
      <c r="D5" s="1"/>
      <c r="E5" s="1" t="s">
        <v>16</v>
      </c>
      <c r="F5" s="1" t="s">
        <v>16</v>
      </c>
      <c r="G5" s="1" t="s">
        <v>16</v>
      </c>
      <c r="H5" s="1"/>
      <c r="I5" s="1"/>
      <c r="J5" s="1"/>
      <c r="K5" s="1" t="s">
        <v>16</v>
      </c>
      <c r="L5" s="1"/>
      <c r="M5" s="1"/>
      <c r="N5" s="1"/>
      <c r="O5" s="1"/>
      <c r="P5" s="1"/>
      <c r="Q5" s="1" t="s">
        <v>16</v>
      </c>
      <c r="R5" s="1"/>
      <c r="S5" s="1"/>
      <c r="T5" s="1"/>
    </row>
    <row r="6" spans="1:20" x14ac:dyDescent="0.3">
      <c r="A6" t="s">
        <v>24</v>
      </c>
      <c r="B6" s="1" t="s">
        <v>16</v>
      </c>
      <c r="C6" s="1" t="s">
        <v>16</v>
      </c>
      <c r="D6" s="1"/>
      <c r="E6" s="1" t="s">
        <v>16</v>
      </c>
      <c r="F6" s="1" t="s">
        <v>16</v>
      </c>
      <c r="G6" s="1" t="s">
        <v>16</v>
      </c>
      <c r="H6" s="1"/>
      <c r="I6" s="1"/>
      <c r="J6" s="1"/>
      <c r="K6" s="1" t="s">
        <v>16</v>
      </c>
      <c r="L6" s="1"/>
      <c r="M6" s="1"/>
      <c r="N6" s="1"/>
      <c r="O6" s="1"/>
      <c r="P6" s="1"/>
      <c r="Q6" s="1" t="s">
        <v>16</v>
      </c>
      <c r="R6" s="1"/>
      <c r="S6" s="1"/>
      <c r="T6" s="1"/>
    </row>
    <row r="7" spans="1:20" x14ac:dyDescent="0.3">
      <c r="A7" t="s">
        <v>25</v>
      </c>
      <c r="B7" s="1"/>
      <c r="C7" s="1" t="s">
        <v>16</v>
      </c>
      <c r="D7" s="1" t="s">
        <v>16</v>
      </c>
      <c r="E7" s="1" t="s">
        <v>16</v>
      </c>
      <c r="F7" s="1"/>
      <c r="G7" s="1"/>
      <c r="H7" s="1" t="s">
        <v>16</v>
      </c>
      <c r="I7" s="1" t="s">
        <v>16</v>
      </c>
      <c r="J7" s="1" t="s">
        <v>16</v>
      </c>
      <c r="K7" s="1"/>
      <c r="L7" s="1"/>
      <c r="M7" s="1" t="s">
        <v>16</v>
      </c>
      <c r="N7" s="1" t="s">
        <v>16</v>
      </c>
      <c r="O7" s="1" t="s">
        <v>16</v>
      </c>
      <c r="P7" s="1" t="s">
        <v>16</v>
      </c>
      <c r="Q7" s="1"/>
      <c r="R7" s="1" t="s">
        <v>16</v>
      </c>
      <c r="S7" s="1"/>
      <c r="T7" s="1" t="s">
        <v>16</v>
      </c>
    </row>
    <row r="8" spans="1:20" x14ac:dyDescent="0.3">
      <c r="A8" t="s">
        <v>26</v>
      </c>
      <c r="B8" s="1" t="s">
        <v>16</v>
      </c>
      <c r="C8" s="1" t="s">
        <v>16</v>
      </c>
      <c r="D8" s="1"/>
      <c r="E8" s="1" t="s">
        <v>16</v>
      </c>
      <c r="F8" s="1" t="s">
        <v>16</v>
      </c>
      <c r="G8" s="1" t="s">
        <v>16</v>
      </c>
      <c r="H8" s="1"/>
      <c r="I8" s="1"/>
      <c r="J8" s="1" t="s">
        <v>6</v>
      </c>
      <c r="K8" s="1" t="s">
        <v>16</v>
      </c>
      <c r="L8" s="1"/>
      <c r="M8" s="1"/>
      <c r="N8" s="1"/>
      <c r="O8" s="1"/>
      <c r="P8" s="1"/>
      <c r="Q8" s="1" t="s">
        <v>16</v>
      </c>
      <c r="R8" s="1"/>
      <c r="S8" s="1"/>
      <c r="T8" s="1"/>
    </row>
    <row r="9" spans="1:20" x14ac:dyDescent="0.3">
      <c r="A9" t="s">
        <v>27</v>
      </c>
      <c r="B9" s="1" t="s">
        <v>16</v>
      </c>
      <c r="C9" s="1" t="s">
        <v>16</v>
      </c>
      <c r="D9" s="1"/>
      <c r="E9" s="1" t="s">
        <v>16</v>
      </c>
      <c r="F9" s="1" t="s">
        <v>16</v>
      </c>
      <c r="G9" s="1" t="s">
        <v>16</v>
      </c>
      <c r="H9" s="1"/>
      <c r="I9" s="1"/>
      <c r="J9" s="1"/>
      <c r="K9" s="1" t="s">
        <v>16</v>
      </c>
      <c r="L9" s="1"/>
      <c r="M9" s="1"/>
      <c r="N9" s="1"/>
      <c r="O9" s="1"/>
      <c r="P9" s="1"/>
      <c r="Q9" s="1" t="s">
        <v>16</v>
      </c>
      <c r="R9" s="1"/>
      <c r="S9" s="1"/>
      <c r="T9" s="1"/>
    </row>
    <row r="10" spans="1:20" x14ac:dyDescent="0.3">
      <c r="A10" t="s">
        <v>28</v>
      </c>
      <c r="B10" s="1" t="s">
        <v>16</v>
      </c>
      <c r="C10" s="1"/>
      <c r="D10" s="1"/>
      <c r="E10" s="1"/>
      <c r="F10" s="1" t="s">
        <v>16</v>
      </c>
      <c r="G10" s="1" t="s">
        <v>16</v>
      </c>
      <c r="H10" s="1"/>
      <c r="I10" s="1"/>
      <c r="J10" s="1" t="s">
        <v>16</v>
      </c>
      <c r="K10" s="1" t="s">
        <v>16</v>
      </c>
      <c r="L10" s="1"/>
      <c r="M10" s="1"/>
      <c r="N10" s="1"/>
      <c r="O10" s="1"/>
      <c r="P10" s="1"/>
      <c r="Q10" s="1" t="s">
        <v>16</v>
      </c>
      <c r="R10" s="1"/>
      <c r="S10" s="1"/>
      <c r="T10" s="1" t="s">
        <v>16</v>
      </c>
    </row>
    <row r="11" spans="1:20" x14ac:dyDescent="0.3">
      <c r="A11" t="s">
        <v>29</v>
      </c>
      <c r="B11" s="1"/>
      <c r="C11" s="1" t="s">
        <v>16</v>
      </c>
      <c r="D11" s="1" t="s">
        <v>16</v>
      </c>
      <c r="E11" s="1" t="s">
        <v>16</v>
      </c>
      <c r="F11" s="1"/>
      <c r="G11" s="1"/>
      <c r="H11" s="1" t="s">
        <v>16</v>
      </c>
      <c r="I11" s="1" t="s">
        <v>16</v>
      </c>
      <c r="J11" s="1" t="s">
        <v>16</v>
      </c>
      <c r="K11" s="1"/>
      <c r="L11" s="1"/>
      <c r="M11" s="1" t="s">
        <v>16</v>
      </c>
      <c r="N11" s="1" t="s">
        <v>16</v>
      </c>
      <c r="O11" s="1" t="s">
        <v>16</v>
      </c>
      <c r="P11" s="1" t="s">
        <v>16</v>
      </c>
      <c r="Q11" s="1"/>
      <c r="R11" s="1" t="s">
        <v>16</v>
      </c>
      <c r="S11" s="1"/>
      <c r="T11" s="1" t="s">
        <v>16</v>
      </c>
    </row>
    <row r="12" spans="1:20" x14ac:dyDescent="0.3">
      <c r="A12" t="s">
        <v>30</v>
      </c>
      <c r="B12" s="1"/>
      <c r="C12" s="1" t="s">
        <v>16</v>
      </c>
      <c r="D12" s="1" t="s">
        <v>16</v>
      </c>
      <c r="E12" s="1" t="s">
        <v>16</v>
      </c>
      <c r="F12" s="1"/>
      <c r="G12" s="1"/>
      <c r="H12" s="1" t="s">
        <v>16</v>
      </c>
      <c r="I12" s="1" t="s">
        <v>16</v>
      </c>
      <c r="J12" s="1" t="s">
        <v>16</v>
      </c>
      <c r="K12" s="1"/>
      <c r="L12" s="1"/>
      <c r="M12" s="1" t="s">
        <v>16</v>
      </c>
      <c r="N12" s="1" t="s">
        <v>16</v>
      </c>
      <c r="O12" s="1" t="s">
        <v>16</v>
      </c>
      <c r="P12" s="1" t="s">
        <v>16</v>
      </c>
      <c r="Q12" s="1"/>
      <c r="R12" s="1" t="s">
        <v>16</v>
      </c>
      <c r="S12" s="1"/>
      <c r="T12" s="1" t="s">
        <v>16</v>
      </c>
    </row>
    <row r="13" spans="1:20" x14ac:dyDescent="0.3">
      <c r="A13" t="s">
        <v>31</v>
      </c>
      <c r="B13" s="1" t="s">
        <v>16</v>
      </c>
      <c r="C13" s="1"/>
      <c r="D13" s="1"/>
      <c r="E13" s="1"/>
      <c r="F13" s="1" t="s">
        <v>16</v>
      </c>
      <c r="G13" s="1" t="s">
        <v>16</v>
      </c>
      <c r="H13" s="1"/>
      <c r="I13" s="1"/>
      <c r="J13" s="1" t="s">
        <v>16</v>
      </c>
      <c r="K13" s="1" t="s">
        <v>16</v>
      </c>
      <c r="L13" s="1"/>
      <c r="M13" s="1"/>
      <c r="N13" s="1"/>
      <c r="O13" s="1"/>
      <c r="P13" s="1"/>
      <c r="Q13" s="1" t="s">
        <v>16</v>
      </c>
      <c r="R13" s="1"/>
      <c r="S13" s="1"/>
      <c r="T13" s="1" t="s">
        <v>16</v>
      </c>
    </row>
    <row r="14" spans="1:20" x14ac:dyDescent="0.3">
      <c r="A14" t="s">
        <v>32</v>
      </c>
      <c r="B14" s="1"/>
      <c r="C14" s="1" t="s">
        <v>16</v>
      </c>
      <c r="D14" s="1" t="s">
        <v>16</v>
      </c>
      <c r="E14" s="1" t="s">
        <v>16</v>
      </c>
      <c r="F14" s="1"/>
      <c r="G14" s="1"/>
      <c r="H14" s="1" t="s">
        <v>16</v>
      </c>
      <c r="I14" s="1" t="s">
        <v>16</v>
      </c>
      <c r="J14" s="1" t="s">
        <v>16</v>
      </c>
      <c r="K14" s="1"/>
      <c r="L14" s="1"/>
      <c r="M14" s="1" t="s">
        <v>16</v>
      </c>
      <c r="N14" s="1" t="s">
        <v>16</v>
      </c>
      <c r="O14" s="1" t="s">
        <v>16</v>
      </c>
      <c r="P14" s="1" t="s">
        <v>16</v>
      </c>
      <c r="Q14" s="1"/>
      <c r="R14" s="1" t="s">
        <v>16</v>
      </c>
      <c r="S14" s="1"/>
      <c r="T14" s="1" t="s">
        <v>16</v>
      </c>
    </row>
    <row r="15" spans="1:20" x14ac:dyDescent="0.3">
      <c r="A15" t="s">
        <v>33</v>
      </c>
      <c r="B15" s="1" t="s">
        <v>16</v>
      </c>
      <c r="C15" s="1" t="s">
        <v>16</v>
      </c>
      <c r="D15" s="1"/>
      <c r="E15" s="1" t="s">
        <v>16</v>
      </c>
      <c r="F15" s="1" t="s">
        <v>16</v>
      </c>
      <c r="G15" s="1" t="s">
        <v>16</v>
      </c>
      <c r="H15" s="1"/>
      <c r="I15" s="1"/>
      <c r="J15" s="1"/>
      <c r="K15" s="1" t="s">
        <v>16</v>
      </c>
      <c r="L15" s="1"/>
      <c r="M15" s="1"/>
      <c r="N15" s="1"/>
      <c r="O15" s="1"/>
      <c r="P15" s="1"/>
      <c r="Q15" s="1" t="s">
        <v>16</v>
      </c>
      <c r="R15" s="1"/>
      <c r="S15" s="1"/>
      <c r="T15" s="1"/>
    </row>
    <row r="16" spans="1:20" x14ac:dyDescent="0.3">
      <c r="A16" t="s">
        <v>34</v>
      </c>
      <c r="B16" s="1" t="s">
        <v>16</v>
      </c>
      <c r="C16" s="1" t="s">
        <v>16</v>
      </c>
      <c r="D16" s="1"/>
      <c r="E16" s="1" t="s">
        <v>16</v>
      </c>
      <c r="F16" s="1" t="s">
        <v>16</v>
      </c>
      <c r="G16" s="1" t="s">
        <v>16</v>
      </c>
      <c r="H16" s="1"/>
      <c r="I16" s="1"/>
      <c r="J16" s="1"/>
      <c r="K16" s="1" t="s">
        <v>16</v>
      </c>
      <c r="L16" s="1"/>
      <c r="M16" s="1"/>
      <c r="N16" s="1"/>
      <c r="O16" s="1"/>
      <c r="P16" s="1"/>
      <c r="Q16" s="1" t="s">
        <v>16</v>
      </c>
      <c r="R16" s="1"/>
      <c r="S16" s="1"/>
      <c r="T16" s="1"/>
    </row>
    <row r="17" spans="1:20" x14ac:dyDescent="0.3">
      <c r="A17" t="s">
        <v>35</v>
      </c>
      <c r="B17" s="1" t="s">
        <v>16</v>
      </c>
      <c r="C17" s="1" t="s">
        <v>16</v>
      </c>
      <c r="D17" s="1"/>
      <c r="E17" s="1" t="s">
        <v>16</v>
      </c>
      <c r="F17" s="1" t="s">
        <v>16</v>
      </c>
      <c r="G17" s="1" t="s">
        <v>16</v>
      </c>
      <c r="H17" s="1"/>
      <c r="I17" s="1"/>
      <c r="J17" s="1"/>
      <c r="K17" s="1" t="s">
        <v>16</v>
      </c>
      <c r="L17" s="1"/>
      <c r="M17" s="1"/>
      <c r="N17" s="1"/>
      <c r="O17" s="1"/>
      <c r="P17" s="1"/>
      <c r="Q17" s="1" t="s">
        <v>16</v>
      </c>
      <c r="R17" s="1"/>
      <c r="S17" s="1"/>
      <c r="T17" s="1"/>
    </row>
    <row r="18" spans="1:20" x14ac:dyDescent="0.3">
      <c r="A18" t="s">
        <v>36</v>
      </c>
      <c r="B18" s="1"/>
      <c r="C18" s="1" t="s">
        <v>16</v>
      </c>
      <c r="D18" s="1" t="s">
        <v>16</v>
      </c>
      <c r="E18" s="1" t="s">
        <v>16</v>
      </c>
      <c r="F18" s="1"/>
      <c r="G18" s="1"/>
      <c r="H18" s="1" t="s">
        <v>16</v>
      </c>
      <c r="I18" s="1" t="s">
        <v>16</v>
      </c>
      <c r="J18" s="1" t="s">
        <v>16</v>
      </c>
      <c r="K18" s="1"/>
      <c r="L18" s="1"/>
      <c r="M18" s="1" t="s">
        <v>16</v>
      </c>
      <c r="N18" s="1" t="s">
        <v>16</v>
      </c>
      <c r="O18" s="1" t="s">
        <v>16</v>
      </c>
      <c r="P18" s="1" t="s">
        <v>16</v>
      </c>
      <c r="Q18" s="1"/>
      <c r="R18" s="1" t="s">
        <v>16</v>
      </c>
      <c r="S18" s="1"/>
      <c r="T18" s="1" t="s">
        <v>16</v>
      </c>
    </row>
    <row r="19" spans="1:20" x14ac:dyDescent="0.3">
      <c r="A19" t="s">
        <v>37</v>
      </c>
      <c r="B19" s="1"/>
      <c r="C19" s="1" t="s">
        <v>16</v>
      </c>
      <c r="D19" s="1" t="s">
        <v>16</v>
      </c>
      <c r="E19" s="1" t="s">
        <v>16</v>
      </c>
      <c r="F19" s="1"/>
      <c r="G19" s="1"/>
      <c r="H19" s="1" t="s">
        <v>16</v>
      </c>
      <c r="I19" s="1" t="s">
        <v>16</v>
      </c>
      <c r="J19" s="1" t="s">
        <v>16</v>
      </c>
      <c r="K19" s="1"/>
      <c r="L19" s="1"/>
      <c r="M19" s="1" t="s">
        <v>16</v>
      </c>
      <c r="N19" s="1" t="s">
        <v>16</v>
      </c>
      <c r="O19" s="1" t="s">
        <v>16</v>
      </c>
      <c r="P19" s="1" t="s">
        <v>16</v>
      </c>
      <c r="Q19" s="1"/>
      <c r="R19" s="1" t="s">
        <v>16</v>
      </c>
      <c r="S19" s="1"/>
      <c r="T19" s="1" t="s">
        <v>16</v>
      </c>
    </row>
    <row r="20" spans="1:20" x14ac:dyDescent="0.3">
      <c r="A20" t="s">
        <v>38</v>
      </c>
      <c r="B20" s="1"/>
      <c r="C20" s="1" t="s">
        <v>16</v>
      </c>
      <c r="D20" s="1" t="s">
        <v>16</v>
      </c>
      <c r="E20" s="1" t="s">
        <v>16</v>
      </c>
      <c r="F20" s="1"/>
      <c r="G20" s="1"/>
      <c r="H20" s="1" t="s">
        <v>16</v>
      </c>
      <c r="I20" s="1" t="s">
        <v>16</v>
      </c>
      <c r="J20" s="1" t="s">
        <v>16</v>
      </c>
      <c r="K20" s="1"/>
      <c r="L20" s="1"/>
      <c r="M20" s="1" t="s">
        <v>16</v>
      </c>
      <c r="N20" s="1" t="s">
        <v>16</v>
      </c>
      <c r="O20" s="1" t="s">
        <v>16</v>
      </c>
      <c r="P20" s="1" t="s">
        <v>16</v>
      </c>
      <c r="Q20" s="1"/>
      <c r="R20" s="1" t="s">
        <v>16</v>
      </c>
      <c r="S20" s="1"/>
      <c r="T20" s="1" t="s">
        <v>16</v>
      </c>
    </row>
    <row r="21" spans="1:20" x14ac:dyDescent="0.3">
      <c r="A21" t="s">
        <v>39</v>
      </c>
      <c r="B21" s="1" t="s">
        <v>16</v>
      </c>
      <c r="C21" s="1"/>
      <c r="D21" s="1"/>
      <c r="E21" s="1"/>
      <c r="F21" s="1" t="s">
        <v>16</v>
      </c>
      <c r="G21" s="1" t="s">
        <v>16</v>
      </c>
      <c r="H21" s="1"/>
      <c r="I21" s="1"/>
      <c r="J21" s="1" t="s">
        <v>16</v>
      </c>
      <c r="K21" s="1" t="s">
        <v>16</v>
      </c>
      <c r="L21" s="1" t="s">
        <v>6</v>
      </c>
      <c r="M21" s="1" t="s">
        <v>9</v>
      </c>
      <c r="N21" s="1" t="s">
        <v>9</v>
      </c>
      <c r="O21" s="1"/>
      <c r="P21" s="1"/>
      <c r="Q21" s="1" t="s">
        <v>16</v>
      </c>
      <c r="R21" s="1"/>
      <c r="S21" s="1"/>
      <c r="T21" s="1" t="s">
        <v>16</v>
      </c>
    </row>
    <row r="22" spans="1:20" x14ac:dyDescent="0.3">
      <c r="A22" t="s">
        <v>40</v>
      </c>
      <c r="B22" s="1" t="s">
        <v>16</v>
      </c>
      <c r="C22" s="1"/>
      <c r="D22" s="1"/>
      <c r="E22" s="1"/>
      <c r="F22" s="1" t="s">
        <v>16</v>
      </c>
      <c r="G22" s="1" t="s">
        <v>16</v>
      </c>
      <c r="H22" s="1"/>
      <c r="I22" s="1"/>
      <c r="J22" s="1" t="s">
        <v>16</v>
      </c>
      <c r="K22" s="1" t="s">
        <v>16</v>
      </c>
      <c r="L22" s="1"/>
      <c r="M22" s="1"/>
      <c r="N22" s="1"/>
      <c r="O22" s="1"/>
      <c r="P22" s="1"/>
      <c r="Q22" s="1" t="s">
        <v>16</v>
      </c>
      <c r="R22" s="1"/>
      <c r="S22" s="1"/>
      <c r="T22" s="1" t="s">
        <v>16</v>
      </c>
    </row>
    <row r="23" spans="1:20" x14ac:dyDescent="0.3">
      <c r="A23" t="s">
        <v>41</v>
      </c>
      <c r="B23" s="1" t="s">
        <v>16</v>
      </c>
      <c r="C23" s="1"/>
      <c r="D23" s="1"/>
      <c r="E23" s="1"/>
      <c r="F23" s="1" t="s">
        <v>16</v>
      </c>
      <c r="G23" s="1" t="s">
        <v>16</v>
      </c>
      <c r="H23" s="1"/>
      <c r="I23" s="1"/>
      <c r="J23" s="1" t="s">
        <v>16</v>
      </c>
      <c r="K23" s="1" t="s">
        <v>16</v>
      </c>
      <c r="L23" s="1"/>
      <c r="M23" s="1"/>
      <c r="N23" s="1"/>
      <c r="O23" s="1"/>
      <c r="P23" s="1"/>
      <c r="Q23" s="1" t="s">
        <v>16</v>
      </c>
      <c r="R23" s="1"/>
      <c r="S23" s="1"/>
      <c r="T23" s="1" t="s">
        <v>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9"/>
  <dimension ref="A1:U23"/>
  <sheetViews>
    <sheetView workbookViewId="0">
      <selection activeCell="F25" sqref="F25"/>
    </sheetView>
  </sheetViews>
  <sheetFormatPr baseColWidth="10" defaultRowHeight="14.4" x14ac:dyDescent="0.3"/>
  <cols>
    <col min="1" max="1" width="12.6640625" bestFit="1" customWidth="1"/>
    <col min="2" max="2" width="8.6640625" bestFit="1" customWidth="1"/>
    <col min="3" max="3" width="5" bestFit="1" customWidth="1"/>
    <col min="4" max="4" width="8.6640625" bestFit="1" customWidth="1"/>
    <col min="5" max="5" width="10.6640625" bestFit="1" customWidth="1"/>
    <col min="6" max="6" width="9.6640625" bestFit="1" customWidth="1"/>
    <col min="7" max="7" width="8.6640625" bestFit="1" customWidth="1"/>
    <col min="8" max="8" width="10.6640625" bestFit="1" customWidth="1"/>
    <col min="9" max="9" width="9.44140625" customWidth="1"/>
    <col min="10" max="10" width="9" bestFit="1" customWidth="1"/>
    <col min="11" max="11" width="8.6640625" bestFit="1" customWidth="1"/>
    <col min="12" max="12" width="9.44140625" customWidth="1"/>
    <col min="13" max="14" width="8.6640625" bestFit="1" customWidth="1"/>
    <col min="15" max="15" width="10.109375" customWidth="1"/>
    <col min="16" max="16" width="9.109375" customWidth="1"/>
    <col min="17" max="17" width="10.6640625" bestFit="1" customWidth="1"/>
    <col min="18" max="18" width="9.33203125" bestFit="1" customWidth="1"/>
    <col min="19" max="19" width="10.6640625" bestFit="1" customWidth="1"/>
    <col min="20" max="20" width="7.33203125" bestFit="1" customWidth="1"/>
    <col min="21" max="21" width="8.6640625" bestFit="1" customWidth="1"/>
  </cols>
  <sheetData>
    <row r="1" spans="1:21" x14ac:dyDescent="0.3">
      <c r="A1">
        <v>41</v>
      </c>
      <c r="B1" t="s">
        <v>21</v>
      </c>
      <c r="F1" t="s">
        <v>22</v>
      </c>
      <c r="J1" t="s">
        <v>18</v>
      </c>
      <c r="O1" t="s">
        <v>19</v>
      </c>
      <c r="R1" t="s">
        <v>20</v>
      </c>
      <c r="U1" t="s">
        <v>17</v>
      </c>
    </row>
    <row r="2" spans="1:21" x14ac:dyDescent="0.3">
      <c r="B2" s="1" t="s">
        <v>0</v>
      </c>
      <c r="C2" s="1" t="s">
        <v>2</v>
      </c>
      <c r="D2" s="1" t="s">
        <v>3</v>
      </c>
      <c r="E2" s="1" t="s">
        <v>1</v>
      </c>
      <c r="F2" s="1" t="s">
        <v>5</v>
      </c>
      <c r="G2" s="1" t="s">
        <v>0</v>
      </c>
      <c r="H2" s="1" t="s">
        <v>1</v>
      </c>
      <c r="I2" s="1" t="s">
        <v>46</v>
      </c>
      <c r="J2" s="1" t="s">
        <v>2</v>
      </c>
      <c r="K2" s="1" t="s">
        <v>0</v>
      </c>
      <c r="L2" s="1" t="s">
        <v>46</v>
      </c>
      <c r="M2" s="1" t="s">
        <v>0</v>
      </c>
      <c r="N2" s="1" t="s">
        <v>8</v>
      </c>
      <c r="O2" s="1" t="s">
        <v>46</v>
      </c>
      <c r="P2" s="1" t="s">
        <v>46</v>
      </c>
      <c r="Q2" s="1" t="s">
        <v>1</v>
      </c>
      <c r="R2" s="1" t="s">
        <v>0</v>
      </c>
      <c r="S2" s="1" t="s">
        <v>1</v>
      </c>
      <c r="T2" s="1" t="s">
        <v>4</v>
      </c>
      <c r="U2" s="1" t="s">
        <v>3</v>
      </c>
    </row>
    <row r="3" spans="1:21" x14ac:dyDescent="0.3">
      <c r="B3" s="1">
        <v>8</v>
      </c>
      <c r="C3" s="1">
        <v>8</v>
      </c>
      <c r="D3" s="1">
        <v>13.5</v>
      </c>
      <c r="E3" s="1">
        <v>16.25</v>
      </c>
      <c r="F3" s="1">
        <v>8</v>
      </c>
      <c r="G3" s="1">
        <v>10</v>
      </c>
      <c r="H3" s="1">
        <v>10.25</v>
      </c>
      <c r="I3" s="1">
        <v>16</v>
      </c>
      <c r="J3" s="1">
        <v>8</v>
      </c>
      <c r="K3" s="1">
        <v>8</v>
      </c>
      <c r="L3" s="1">
        <v>13.5</v>
      </c>
      <c r="M3" s="1">
        <v>13.5</v>
      </c>
      <c r="N3" s="1">
        <v>15.5</v>
      </c>
      <c r="O3" s="1">
        <v>8</v>
      </c>
      <c r="P3" s="1">
        <v>10</v>
      </c>
      <c r="Q3" s="1">
        <v>13.75</v>
      </c>
      <c r="R3" s="1">
        <v>8</v>
      </c>
      <c r="S3" s="1">
        <v>13.75</v>
      </c>
      <c r="T3" s="1">
        <v>16</v>
      </c>
      <c r="U3" s="1">
        <v>8</v>
      </c>
    </row>
    <row r="4" spans="1:21" x14ac:dyDescent="0.3">
      <c r="B4" s="1">
        <v>12</v>
      </c>
      <c r="C4" s="1">
        <v>12.5</v>
      </c>
      <c r="D4" s="1">
        <v>16</v>
      </c>
      <c r="E4" s="1">
        <v>18.25</v>
      </c>
      <c r="F4" s="1">
        <v>10</v>
      </c>
      <c r="G4" s="1">
        <v>14</v>
      </c>
      <c r="H4" s="1">
        <v>12.25</v>
      </c>
      <c r="I4" s="1">
        <v>18</v>
      </c>
      <c r="J4" s="1">
        <v>10</v>
      </c>
      <c r="K4" s="1">
        <v>12</v>
      </c>
      <c r="L4" s="1">
        <v>15.5</v>
      </c>
      <c r="M4" s="1">
        <v>15.5</v>
      </c>
      <c r="N4" s="1">
        <v>17.5</v>
      </c>
      <c r="O4" s="1">
        <v>10</v>
      </c>
      <c r="P4" s="1">
        <v>12</v>
      </c>
      <c r="Q4" s="1">
        <v>15.75</v>
      </c>
      <c r="R4" s="1">
        <v>12</v>
      </c>
      <c r="S4" s="1">
        <v>15.75</v>
      </c>
      <c r="T4" s="1">
        <v>18</v>
      </c>
      <c r="U4" s="1">
        <v>12</v>
      </c>
    </row>
    <row r="5" spans="1:21" x14ac:dyDescent="0.3">
      <c r="A5" t="s">
        <v>23</v>
      </c>
      <c r="B5" s="1" t="s">
        <v>16</v>
      </c>
      <c r="C5" s="1" t="s">
        <v>16</v>
      </c>
      <c r="D5" s="1"/>
      <c r="E5" s="1"/>
      <c r="F5" s="1"/>
      <c r="G5" s="1" t="s">
        <v>16</v>
      </c>
      <c r="H5" s="1"/>
      <c r="I5" s="1"/>
      <c r="J5" s="1" t="s">
        <v>16</v>
      </c>
      <c r="K5" s="1" t="s">
        <v>16</v>
      </c>
      <c r="L5" s="1"/>
      <c r="M5" s="1" t="s">
        <v>16</v>
      </c>
      <c r="N5" s="1"/>
      <c r="O5" s="1"/>
      <c r="P5" s="1"/>
      <c r="Q5" s="1"/>
      <c r="R5" s="1" t="s">
        <v>16</v>
      </c>
      <c r="S5" s="1"/>
      <c r="T5" s="1"/>
      <c r="U5" s="1"/>
    </row>
    <row r="6" spans="1:21" x14ac:dyDescent="0.3">
      <c r="A6" t="s">
        <v>24</v>
      </c>
      <c r="B6" s="1" t="s">
        <v>16</v>
      </c>
      <c r="C6" s="1" t="s">
        <v>16</v>
      </c>
      <c r="D6" s="1"/>
      <c r="E6" s="1"/>
      <c r="F6" s="1"/>
      <c r="G6" s="1" t="s">
        <v>16</v>
      </c>
      <c r="H6" s="1"/>
      <c r="I6" s="1"/>
      <c r="J6" s="1" t="s">
        <v>16</v>
      </c>
      <c r="K6" s="1" t="s">
        <v>16</v>
      </c>
      <c r="L6" s="1"/>
      <c r="M6" s="1" t="s">
        <v>16</v>
      </c>
      <c r="N6" s="1"/>
      <c r="O6" s="1"/>
      <c r="P6" s="1"/>
      <c r="Q6" s="1"/>
      <c r="R6" s="1" t="s">
        <v>16</v>
      </c>
      <c r="S6" s="1"/>
      <c r="T6" s="1"/>
      <c r="U6" s="1"/>
    </row>
    <row r="7" spans="1:21" x14ac:dyDescent="0.3">
      <c r="A7" t="s">
        <v>25</v>
      </c>
      <c r="B7" s="1"/>
      <c r="C7" s="1" t="s">
        <v>16</v>
      </c>
      <c r="D7" s="1" t="s">
        <v>16</v>
      </c>
      <c r="E7" s="1" t="s">
        <v>16</v>
      </c>
      <c r="F7" s="1"/>
      <c r="G7" s="1"/>
      <c r="H7" s="1" t="s">
        <v>16</v>
      </c>
      <c r="I7" s="1" t="s">
        <v>16</v>
      </c>
      <c r="J7" s="1" t="s">
        <v>16</v>
      </c>
      <c r="K7" s="1"/>
      <c r="L7" s="1" t="s">
        <v>16</v>
      </c>
      <c r="M7" s="1"/>
      <c r="N7" s="1"/>
      <c r="O7" s="1" t="s">
        <v>16</v>
      </c>
      <c r="P7" s="1" t="s">
        <v>16</v>
      </c>
      <c r="Q7" s="1" t="s">
        <v>16</v>
      </c>
      <c r="R7" s="1"/>
      <c r="S7" s="1" t="s">
        <v>16</v>
      </c>
      <c r="T7" s="1"/>
      <c r="U7" s="1" t="s">
        <v>16</v>
      </c>
    </row>
    <row r="8" spans="1:21" x14ac:dyDescent="0.3">
      <c r="A8" t="s">
        <v>26</v>
      </c>
      <c r="B8" s="1" t="s">
        <v>16</v>
      </c>
      <c r="C8" s="1" t="s">
        <v>16</v>
      </c>
      <c r="D8" s="1"/>
      <c r="E8" s="1"/>
      <c r="F8" s="1"/>
      <c r="G8" s="1" t="s">
        <v>16</v>
      </c>
      <c r="H8" s="1"/>
      <c r="I8" s="1"/>
      <c r="J8" s="1" t="s">
        <v>16</v>
      </c>
      <c r="K8" s="1" t="s">
        <v>16</v>
      </c>
      <c r="L8" s="1"/>
      <c r="M8" s="1" t="s">
        <v>16</v>
      </c>
      <c r="N8" s="1"/>
      <c r="O8" s="1"/>
      <c r="P8" s="1"/>
      <c r="Q8" s="1"/>
      <c r="R8" s="1" t="s">
        <v>16</v>
      </c>
      <c r="S8" s="1"/>
      <c r="T8" s="1"/>
      <c r="U8" s="1"/>
    </row>
    <row r="9" spans="1:21" x14ac:dyDescent="0.3">
      <c r="A9" t="s">
        <v>27</v>
      </c>
      <c r="B9" s="1" t="s">
        <v>16</v>
      </c>
      <c r="C9" s="1" t="s">
        <v>16</v>
      </c>
      <c r="D9" s="1"/>
      <c r="E9" s="1"/>
      <c r="F9" s="1"/>
      <c r="G9" s="1" t="s">
        <v>16</v>
      </c>
      <c r="H9" s="1"/>
      <c r="I9" s="1"/>
      <c r="J9" s="1" t="s">
        <v>16</v>
      </c>
      <c r="K9" s="1" t="s">
        <v>16</v>
      </c>
      <c r="L9" s="1"/>
      <c r="M9" s="1" t="s">
        <v>16</v>
      </c>
      <c r="N9" s="1"/>
      <c r="O9" s="1"/>
      <c r="P9" s="1"/>
      <c r="Q9" s="1"/>
      <c r="R9" s="1" t="s">
        <v>16</v>
      </c>
      <c r="S9" s="1"/>
      <c r="T9" s="1"/>
      <c r="U9" s="1"/>
    </row>
    <row r="10" spans="1:21" x14ac:dyDescent="0.3">
      <c r="A10" t="s">
        <v>28</v>
      </c>
      <c r="B10" s="1" t="s">
        <v>16</v>
      </c>
      <c r="C10" s="1"/>
      <c r="D10" s="1" t="s">
        <v>16</v>
      </c>
      <c r="E10" s="1" t="s">
        <v>6</v>
      </c>
      <c r="F10" s="1"/>
      <c r="G10" s="1" t="s">
        <v>16</v>
      </c>
      <c r="H10" s="1"/>
      <c r="I10" s="1"/>
      <c r="J10" s="1"/>
      <c r="K10" s="1" t="s">
        <v>16</v>
      </c>
      <c r="L10" s="1"/>
      <c r="M10" s="1" t="s">
        <v>16</v>
      </c>
      <c r="N10" s="1" t="s">
        <v>6</v>
      </c>
      <c r="O10" s="1"/>
      <c r="P10" s="1"/>
      <c r="Q10" s="1"/>
      <c r="R10" s="1" t="s">
        <v>16</v>
      </c>
      <c r="S10" s="1"/>
      <c r="T10" s="1"/>
      <c r="U10" s="1" t="s">
        <v>16</v>
      </c>
    </row>
    <row r="11" spans="1:21" x14ac:dyDescent="0.3">
      <c r="A11" t="s">
        <v>29</v>
      </c>
      <c r="B11" s="1"/>
      <c r="C11" s="1" t="s">
        <v>16</v>
      </c>
      <c r="D11" s="1" t="s">
        <v>16</v>
      </c>
      <c r="E11" s="1" t="s">
        <v>16</v>
      </c>
      <c r="F11" s="1"/>
      <c r="G11" s="1"/>
      <c r="H11" s="1" t="s">
        <v>16</v>
      </c>
      <c r="I11" s="1" t="s">
        <v>16</v>
      </c>
      <c r="J11" s="1" t="s">
        <v>16</v>
      </c>
      <c r="K11" s="1"/>
      <c r="L11" s="1" t="s">
        <v>16</v>
      </c>
      <c r="M11" s="1"/>
      <c r="N11" s="1"/>
      <c r="O11" s="1" t="s">
        <v>16</v>
      </c>
      <c r="P11" s="1" t="s">
        <v>16</v>
      </c>
      <c r="Q11" s="1" t="s">
        <v>16</v>
      </c>
      <c r="R11" s="1"/>
      <c r="S11" s="1" t="s">
        <v>16</v>
      </c>
      <c r="T11" s="1"/>
      <c r="U11" s="1" t="s">
        <v>16</v>
      </c>
    </row>
    <row r="12" spans="1:21" x14ac:dyDescent="0.3">
      <c r="A12" t="s">
        <v>30</v>
      </c>
      <c r="B12" s="1"/>
      <c r="C12" s="1" t="s">
        <v>16</v>
      </c>
      <c r="D12" s="1" t="s">
        <v>16</v>
      </c>
      <c r="E12" s="1" t="s">
        <v>16</v>
      </c>
      <c r="F12" s="1"/>
      <c r="G12" s="1"/>
      <c r="H12" s="1" t="s">
        <v>16</v>
      </c>
      <c r="I12" s="1" t="s">
        <v>16</v>
      </c>
      <c r="J12" s="1" t="s">
        <v>16</v>
      </c>
      <c r="K12" s="1"/>
      <c r="L12" s="1" t="s">
        <v>16</v>
      </c>
      <c r="M12" s="1"/>
      <c r="N12" s="1"/>
      <c r="O12" s="1" t="s">
        <v>16</v>
      </c>
      <c r="P12" s="1" t="s">
        <v>16</v>
      </c>
      <c r="Q12" s="1" t="s">
        <v>16</v>
      </c>
      <c r="R12" s="1"/>
      <c r="S12" s="1" t="s">
        <v>16</v>
      </c>
      <c r="T12" s="1"/>
      <c r="U12" s="1" t="s">
        <v>16</v>
      </c>
    </row>
    <row r="13" spans="1:21" x14ac:dyDescent="0.3">
      <c r="A13" t="s">
        <v>31</v>
      </c>
      <c r="B13" s="1" t="s">
        <v>16</v>
      </c>
      <c r="C13" s="1"/>
      <c r="D13" s="1" t="s">
        <v>16</v>
      </c>
      <c r="E13" s="1"/>
      <c r="F13" s="1"/>
      <c r="G13" s="1" t="s">
        <v>16</v>
      </c>
      <c r="H13" s="1"/>
      <c r="I13" s="1"/>
      <c r="J13" s="1"/>
      <c r="K13" s="1" t="s">
        <v>16</v>
      </c>
      <c r="L13" s="1"/>
      <c r="M13" s="1" t="s">
        <v>16</v>
      </c>
      <c r="N13" s="1"/>
      <c r="O13" s="1"/>
      <c r="P13" s="1"/>
      <c r="Q13" s="1"/>
      <c r="R13" s="1" t="s">
        <v>16</v>
      </c>
      <c r="S13" s="1"/>
      <c r="T13" s="1"/>
      <c r="U13" s="1" t="s">
        <v>16</v>
      </c>
    </row>
    <row r="14" spans="1:21" x14ac:dyDescent="0.3">
      <c r="A14" t="s">
        <v>32</v>
      </c>
      <c r="B14" s="1"/>
      <c r="C14" s="1" t="s">
        <v>16</v>
      </c>
      <c r="D14" s="1" t="s">
        <v>16</v>
      </c>
      <c r="E14" s="1" t="s">
        <v>16</v>
      </c>
      <c r="F14" s="1"/>
      <c r="G14" s="1"/>
      <c r="H14" s="1" t="s">
        <v>16</v>
      </c>
      <c r="I14" s="1" t="s">
        <v>16</v>
      </c>
      <c r="J14" s="1" t="s">
        <v>16</v>
      </c>
      <c r="K14" s="1"/>
      <c r="L14" s="1" t="s">
        <v>16</v>
      </c>
      <c r="M14" s="1"/>
      <c r="N14" s="1"/>
      <c r="O14" s="1" t="s">
        <v>16</v>
      </c>
      <c r="P14" s="1" t="s">
        <v>16</v>
      </c>
      <c r="Q14" s="1" t="s">
        <v>16</v>
      </c>
      <c r="R14" s="1"/>
      <c r="S14" s="1" t="s">
        <v>16</v>
      </c>
      <c r="T14" s="1"/>
      <c r="U14" s="1" t="s">
        <v>16</v>
      </c>
    </row>
    <row r="15" spans="1:21" x14ac:dyDescent="0.3">
      <c r="A15" t="s">
        <v>33</v>
      </c>
      <c r="B15" s="1" t="s">
        <v>16</v>
      </c>
      <c r="C15" s="1" t="s">
        <v>16</v>
      </c>
      <c r="D15" s="1"/>
      <c r="E15" s="1"/>
      <c r="F15" s="1"/>
      <c r="G15" s="1" t="s">
        <v>16</v>
      </c>
      <c r="H15" s="1"/>
      <c r="I15" s="1"/>
      <c r="J15" s="1" t="s">
        <v>16</v>
      </c>
      <c r="K15" s="1" t="s">
        <v>16</v>
      </c>
      <c r="L15" s="1"/>
      <c r="M15" s="1" t="s">
        <v>16</v>
      </c>
      <c r="N15" s="1"/>
      <c r="O15" s="1"/>
      <c r="P15" s="1"/>
      <c r="Q15" s="1"/>
      <c r="R15" s="1" t="s">
        <v>16</v>
      </c>
      <c r="S15" s="1"/>
      <c r="T15" s="1"/>
      <c r="U15" s="1"/>
    </row>
    <row r="16" spans="1:21" x14ac:dyDescent="0.3">
      <c r="A16" t="s">
        <v>34</v>
      </c>
      <c r="B16" s="1" t="s">
        <v>16</v>
      </c>
      <c r="C16" s="1" t="s">
        <v>16</v>
      </c>
      <c r="D16" s="1"/>
      <c r="E16" s="1"/>
      <c r="F16" s="1"/>
      <c r="G16" s="1" t="s">
        <v>16</v>
      </c>
      <c r="H16" s="1"/>
      <c r="I16" s="1"/>
      <c r="J16" s="1" t="s">
        <v>16</v>
      </c>
      <c r="K16" s="1" t="s">
        <v>16</v>
      </c>
      <c r="L16" s="1"/>
      <c r="M16" s="1" t="s">
        <v>16</v>
      </c>
      <c r="N16" s="1"/>
      <c r="O16" s="1"/>
      <c r="P16" s="1"/>
      <c r="Q16" s="1"/>
      <c r="R16" s="1" t="s">
        <v>16</v>
      </c>
      <c r="S16" s="1"/>
      <c r="T16" s="1"/>
      <c r="U16" s="1"/>
    </row>
    <row r="17" spans="1:21" x14ac:dyDescent="0.3">
      <c r="A17" t="s">
        <v>35</v>
      </c>
      <c r="B17" s="1" t="s">
        <v>16</v>
      </c>
      <c r="C17" s="1" t="s">
        <v>16</v>
      </c>
      <c r="D17" s="1"/>
      <c r="E17" s="1"/>
      <c r="F17" s="1"/>
      <c r="G17" s="1" t="s">
        <v>16</v>
      </c>
      <c r="H17" s="1"/>
      <c r="I17" s="1"/>
      <c r="J17" s="1" t="s">
        <v>16</v>
      </c>
      <c r="K17" s="1" t="s">
        <v>16</v>
      </c>
      <c r="L17" s="1"/>
      <c r="M17" s="1" t="s">
        <v>16</v>
      </c>
      <c r="N17" s="1"/>
      <c r="O17" s="1"/>
      <c r="P17" s="1"/>
      <c r="Q17" s="1"/>
      <c r="R17" s="1" t="s">
        <v>16</v>
      </c>
      <c r="S17" s="1"/>
      <c r="T17" s="1"/>
      <c r="U17" s="1"/>
    </row>
    <row r="18" spans="1:21" x14ac:dyDescent="0.3">
      <c r="A18" t="s">
        <v>36</v>
      </c>
      <c r="B18" s="1"/>
      <c r="C18" s="1" t="s">
        <v>16</v>
      </c>
      <c r="D18" s="1" t="s">
        <v>16</v>
      </c>
      <c r="E18" s="1" t="s">
        <v>16</v>
      </c>
      <c r="F18" s="1"/>
      <c r="G18" s="1"/>
      <c r="H18" s="1" t="s">
        <v>16</v>
      </c>
      <c r="I18" s="1" t="s">
        <v>16</v>
      </c>
      <c r="J18" s="1" t="s">
        <v>16</v>
      </c>
      <c r="K18" s="1"/>
      <c r="L18" s="1" t="s">
        <v>16</v>
      </c>
      <c r="M18" s="1"/>
      <c r="N18" s="1"/>
      <c r="O18" s="1" t="s">
        <v>16</v>
      </c>
      <c r="P18" s="1" t="s">
        <v>16</v>
      </c>
      <c r="Q18" s="1" t="s">
        <v>16</v>
      </c>
      <c r="R18" s="1"/>
      <c r="S18" s="1" t="s">
        <v>16</v>
      </c>
      <c r="T18" s="1"/>
      <c r="U18" s="1" t="s">
        <v>16</v>
      </c>
    </row>
    <row r="19" spans="1:21" x14ac:dyDescent="0.3">
      <c r="A19" t="s">
        <v>37</v>
      </c>
      <c r="B19" s="1"/>
      <c r="C19" s="1" t="s">
        <v>16</v>
      </c>
      <c r="D19" s="1" t="s">
        <v>16</v>
      </c>
      <c r="E19" s="1" t="s">
        <v>16</v>
      </c>
      <c r="F19" s="1"/>
      <c r="G19" s="1"/>
      <c r="H19" s="1" t="s">
        <v>16</v>
      </c>
      <c r="I19" s="1" t="s">
        <v>16</v>
      </c>
      <c r="J19" s="1" t="s">
        <v>16</v>
      </c>
      <c r="K19" s="1"/>
      <c r="L19" s="1" t="s">
        <v>16</v>
      </c>
      <c r="M19" s="1"/>
      <c r="N19" s="1"/>
      <c r="O19" s="1" t="s">
        <v>16</v>
      </c>
      <c r="P19" s="1" t="s">
        <v>16</v>
      </c>
      <c r="Q19" s="1" t="s">
        <v>16</v>
      </c>
      <c r="R19" s="1"/>
      <c r="S19" s="1" t="s">
        <v>16</v>
      </c>
      <c r="T19" s="1"/>
      <c r="U19" s="1" t="s">
        <v>16</v>
      </c>
    </row>
    <row r="20" spans="1:21" x14ac:dyDescent="0.3">
      <c r="A20" t="s">
        <v>38</v>
      </c>
      <c r="B20" s="1"/>
      <c r="C20" s="1" t="s">
        <v>16</v>
      </c>
      <c r="D20" s="1" t="s">
        <v>16</v>
      </c>
      <c r="E20" s="1" t="s">
        <v>16</v>
      </c>
      <c r="F20" s="1" t="s">
        <v>9</v>
      </c>
      <c r="G20" s="1" t="s">
        <v>9</v>
      </c>
      <c r="H20" s="1" t="s">
        <v>16</v>
      </c>
      <c r="I20" s="1" t="s">
        <v>16</v>
      </c>
      <c r="J20" s="1" t="s">
        <v>16</v>
      </c>
      <c r="K20" s="1"/>
      <c r="L20" s="1" t="s">
        <v>16</v>
      </c>
      <c r="M20" s="1"/>
      <c r="N20" s="1"/>
      <c r="O20" s="1" t="s">
        <v>16</v>
      </c>
      <c r="P20" s="1" t="s">
        <v>16</v>
      </c>
      <c r="Q20" s="1" t="s">
        <v>16</v>
      </c>
      <c r="R20" s="1"/>
      <c r="S20" s="1" t="s">
        <v>16</v>
      </c>
      <c r="T20" s="1"/>
      <c r="U20" s="1" t="s">
        <v>16</v>
      </c>
    </row>
    <row r="21" spans="1:21" x14ac:dyDescent="0.3">
      <c r="A21" t="s">
        <v>39</v>
      </c>
      <c r="B21" s="1" t="s">
        <v>16</v>
      </c>
      <c r="C21" s="1"/>
      <c r="D21" s="1" t="s">
        <v>16</v>
      </c>
      <c r="E21" s="1"/>
      <c r="F21" s="1"/>
      <c r="G21" s="1" t="s">
        <v>16</v>
      </c>
      <c r="H21" s="1"/>
      <c r="I21" s="1"/>
      <c r="J21" s="1"/>
      <c r="K21" s="1" t="s">
        <v>16</v>
      </c>
      <c r="L21" s="1"/>
      <c r="M21" s="1" t="s">
        <v>16</v>
      </c>
      <c r="N21" s="1"/>
      <c r="O21" s="1"/>
      <c r="P21" s="1"/>
      <c r="Q21" s="1"/>
      <c r="R21" s="1" t="s">
        <v>16</v>
      </c>
      <c r="S21" s="1"/>
      <c r="T21" s="1"/>
      <c r="U21" s="1" t="s">
        <v>16</v>
      </c>
    </row>
    <row r="22" spans="1:21" x14ac:dyDescent="0.3">
      <c r="A22" t="s">
        <v>40</v>
      </c>
      <c r="B22" s="1" t="s">
        <v>16</v>
      </c>
      <c r="C22" s="1"/>
      <c r="D22" s="1" t="s">
        <v>16</v>
      </c>
      <c r="E22" s="1" t="s">
        <v>6</v>
      </c>
      <c r="F22" s="1" t="s">
        <v>9</v>
      </c>
      <c r="G22" s="1" t="s">
        <v>16</v>
      </c>
      <c r="H22" s="1" t="s">
        <v>9</v>
      </c>
      <c r="I22" s="1" t="s">
        <v>9</v>
      </c>
      <c r="J22" s="1" t="s">
        <v>9</v>
      </c>
      <c r="K22" s="1" t="s">
        <v>16</v>
      </c>
      <c r="L22" s="1" t="s">
        <v>9</v>
      </c>
      <c r="M22" s="1" t="s">
        <v>16</v>
      </c>
      <c r="N22" s="1" t="s">
        <v>9</v>
      </c>
      <c r="O22" s="1"/>
      <c r="P22" s="1"/>
      <c r="Q22" s="1"/>
      <c r="R22" s="1" t="s">
        <v>16</v>
      </c>
      <c r="S22" s="1"/>
      <c r="T22" s="1"/>
      <c r="U22" s="1" t="s">
        <v>16</v>
      </c>
    </row>
    <row r="23" spans="1:21" x14ac:dyDescent="0.3">
      <c r="A23" t="s">
        <v>41</v>
      </c>
      <c r="B23" s="1" t="s">
        <v>16</v>
      </c>
      <c r="C23" s="1"/>
      <c r="D23" s="1" t="s">
        <v>16</v>
      </c>
      <c r="E23" s="1"/>
      <c r="F23" s="1"/>
      <c r="G23" s="1" t="s">
        <v>16</v>
      </c>
      <c r="H23" s="1"/>
      <c r="I23" s="1"/>
      <c r="J23" s="1"/>
      <c r="K23" s="1" t="s">
        <v>16</v>
      </c>
      <c r="L23" s="1"/>
      <c r="M23" s="1" t="s">
        <v>16</v>
      </c>
      <c r="N23" s="1"/>
      <c r="O23" s="1"/>
      <c r="P23" s="1"/>
      <c r="Q23" s="1"/>
      <c r="R23" s="1" t="s">
        <v>16</v>
      </c>
      <c r="S23" s="1"/>
      <c r="T23" s="1"/>
      <c r="U23" s="1" t="s">
        <v>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0"/>
  <dimension ref="A1:R23"/>
  <sheetViews>
    <sheetView workbookViewId="0">
      <selection activeCell="F25" sqref="F25"/>
    </sheetView>
  </sheetViews>
  <sheetFormatPr baseColWidth="10" defaultRowHeight="14.4" x14ac:dyDescent="0.3"/>
  <cols>
    <col min="1" max="1" width="12.6640625" bestFit="1" customWidth="1"/>
    <col min="2" max="2" width="8.6640625" bestFit="1" customWidth="1"/>
    <col min="3" max="3" width="5" bestFit="1" customWidth="1"/>
    <col min="4" max="4" width="8.6640625" bestFit="1" customWidth="1"/>
    <col min="5" max="5" width="6.109375" bestFit="1" customWidth="1"/>
    <col min="6" max="6" width="8.6640625" bestFit="1" customWidth="1"/>
    <col min="7" max="7" width="10.6640625" bestFit="1" customWidth="1"/>
    <col min="8" max="8" width="9.6640625" customWidth="1"/>
    <col min="9" max="9" width="9" bestFit="1" customWidth="1"/>
    <col min="10" max="11" width="8.6640625" bestFit="1" customWidth="1"/>
    <col min="12" max="12" width="7.33203125" bestFit="1" customWidth="1"/>
    <col min="13" max="13" width="10.6640625" customWidth="1"/>
    <col min="14" max="14" width="6" bestFit="1" customWidth="1"/>
    <col min="15" max="15" width="10.6640625" bestFit="1" customWidth="1"/>
    <col min="16" max="16" width="10.5546875" customWidth="1"/>
    <col min="17" max="17" width="9.33203125" bestFit="1" customWidth="1"/>
    <col min="18" max="18" width="8.6640625" bestFit="1" customWidth="1"/>
  </cols>
  <sheetData>
    <row r="1" spans="1:18" x14ac:dyDescent="0.3">
      <c r="A1">
        <v>42</v>
      </c>
      <c r="B1" t="s">
        <v>21</v>
      </c>
      <c r="E1" t="s">
        <v>22</v>
      </c>
      <c r="I1" t="s">
        <v>18</v>
      </c>
      <c r="M1" t="s">
        <v>19</v>
      </c>
      <c r="Q1" t="s">
        <v>20</v>
      </c>
      <c r="R1" t="s">
        <v>17</v>
      </c>
    </row>
    <row r="2" spans="1:18" x14ac:dyDescent="0.3">
      <c r="B2" s="1" t="s">
        <v>0</v>
      </c>
      <c r="C2" s="1" t="s">
        <v>2</v>
      </c>
      <c r="D2" s="1" t="s">
        <v>3</v>
      </c>
      <c r="E2" s="1" t="s">
        <v>2</v>
      </c>
      <c r="F2" s="1" t="s">
        <v>0</v>
      </c>
      <c r="G2" s="1" t="s">
        <v>1</v>
      </c>
      <c r="H2" s="1" t="s">
        <v>46</v>
      </c>
      <c r="I2" s="1" t="s">
        <v>2</v>
      </c>
      <c r="J2" s="1" t="s">
        <v>0</v>
      </c>
      <c r="K2" s="1" t="s">
        <v>8</v>
      </c>
      <c r="L2" s="1" t="s">
        <v>4</v>
      </c>
      <c r="M2" s="1" t="s">
        <v>46</v>
      </c>
      <c r="N2" s="1" t="s">
        <v>2</v>
      </c>
      <c r="O2" s="1" t="s">
        <v>1</v>
      </c>
      <c r="P2" s="1" t="s">
        <v>46</v>
      </c>
      <c r="Q2" s="1" t="s">
        <v>0</v>
      </c>
      <c r="R2" s="1" t="s">
        <v>3</v>
      </c>
    </row>
    <row r="3" spans="1:18" x14ac:dyDescent="0.3">
      <c r="B3" s="1">
        <v>8</v>
      </c>
      <c r="C3" s="1">
        <v>8</v>
      </c>
      <c r="D3" s="1">
        <v>13</v>
      </c>
      <c r="E3" s="1">
        <v>8</v>
      </c>
      <c r="F3" s="1">
        <v>8.5</v>
      </c>
      <c r="G3" s="1">
        <v>13.75</v>
      </c>
      <c r="H3" s="1">
        <v>16</v>
      </c>
      <c r="I3" s="1">
        <v>8</v>
      </c>
      <c r="J3" s="1">
        <v>8</v>
      </c>
      <c r="K3" s="1">
        <v>13.25</v>
      </c>
      <c r="L3" s="1">
        <v>15.5</v>
      </c>
      <c r="M3" s="1">
        <v>8</v>
      </c>
      <c r="N3" s="1">
        <v>10.25</v>
      </c>
      <c r="O3" s="1">
        <v>13.75</v>
      </c>
      <c r="P3" s="1">
        <v>16</v>
      </c>
      <c r="Q3" s="1">
        <v>8</v>
      </c>
      <c r="R3" s="1">
        <v>8</v>
      </c>
    </row>
    <row r="4" spans="1:18" x14ac:dyDescent="0.3">
      <c r="B4" s="1">
        <v>12</v>
      </c>
      <c r="C4" s="1">
        <v>12.5</v>
      </c>
      <c r="D4" s="1">
        <v>16</v>
      </c>
      <c r="E4" s="1">
        <v>10</v>
      </c>
      <c r="F4" s="1">
        <v>12.5</v>
      </c>
      <c r="G4" s="1">
        <v>15.75</v>
      </c>
      <c r="H4" s="1">
        <v>18</v>
      </c>
      <c r="I4" s="1">
        <v>10</v>
      </c>
      <c r="J4" s="1">
        <v>12</v>
      </c>
      <c r="K4" s="1">
        <v>15.25</v>
      </c>
      <c r="L4" s="1">
        <v>17.5</v>
      </c>
      <c r="M4" s="1">
        <v>10</v>
      </c>
      <c r="N4" s="1">
        <v>12.25</v>
      </c>
      <c r="O4" s="1">
        <v>15.75</v>
      </c>
      <c r="P4" s="1">
        <v>18</v>
      </c>
      <c r="Q4" s="1">
        <v>12</v>
      </c>
      <c r="R4" s="1">
        <v>12</v>
      </c>
    </row>
    <row r="5" spans="1:18" x14ac:dyDescent="0.3">
      <c r="A5" t="s">
        <v>23</v>
      </c>
      <c r="B5" s="1" t="s">
        <v>16</v>
      </c>
      <c r="C5" s="1" t="s">
        <v>16</v>
      </c>
      <c r="D5" s="1"/>
      <c r="E5" s="1" t="s">
        <v>16</v>
      </c>
      <c r="F5" s="1" t="s">
        <v>16</v>
      </c>
      <c r="G5" s="1"/>
      <c r="H5" s="1"/>
      <c r="I5" s="1" t="s">
        <v>16</v>
      </c>
      <c r="J5" s="1" t="s">
        <v>16</v>
      </c>
      <c r="K5" s="1"/>
      <c r="L5" s="1"/>
      <c r="M5" s="1"/>
      <c r="N5" s="1" t="s">
        <v>16</v>
      </c>
      <c r="O5" s="1"/>
      <c r="P5" s="1"/>
      <c r="Q5" s="1" t="s">
        <v>16</v>
      </c>
      <c r="R5" s="1"/>
    </row>
    <row r="6" spans="1:18" x14ac:dyDescent="0.3">
      <c r="A6" t="s">
        <v>24</v>
      </c>
      <c r="B6" s="1" t="s">
        <v>16</v>
      </c>
      <c r="C6" s="1" t="s">
        <v>16</v>
      </c>
      <c r="D6" s="1"/>
      <c r="E6" s="1" t="s">
        <v>16</v>
      </c>
      <c r="F6" s="1" t="s">
        <v>16</v>
      </c>
      <c r="G6" s="1"/>
      <c r="H6" s="1"/>
      <c r="I6" s="1" t="s">
        <v>16</v>
      </c>
      <c r="J6" s="1" t="s">
        <v>16</v>
      </c>
      <c r="K6" s="1"/>
      <c r="L6" s="1"/>
      <c r="M6" s="1"/>
      <c r="N6" s="1" t="s">
        <v>16</v>
      </c>
      <c r="O6" s="1"/>
      <c r="P6" s="1"/>
      <c r="Q6" s="1" t="s">
        <v>16</v>
      </c>
      <c r="R6" s="1"/>
    </row>
    <row r="7" spans="1:18" x14ac:dyDescent="0.3">
      <c r="A7" t="s">
        <v>25</v>
      </c>
      <c r="B7" s="1"/>
      <c r="C7" s="1" t="s">
        <v>16</v>
      </c>
      <c r="D7" s="1" t="s">
        <v>16</v>
      </c>
      <c r="E7" s="1" t="s">
        <v>16</v>
      </c>
      <c r="F7" s="1"/>
      <c r="G7" s="1" t="s">
        <v>16</v>
      </c>
      <c r="H7" s="1" t="s">
        <v>16</v>
      </c>
      <c r="I7" s="1" t="s">
        <v>16</v>
      </c>
      <c r="J7" s="1"/>
      <c r="K7" s="1"/>
      <c r="L7" s="1"/>
      <c r="M7" s="1" t="s">
        <v>16</v>
      </c>
      <c r="N7" s="1" t="s">
        <v>16</v>
      </c>
      <c r="O7" s="1" t="s">
        <v>16</v>
      </c>
      <c r="P7" s="1" t="s">
        <v>16</v>
      </c>
      <c r="Q7" s="1"/>
      <c r="R7" s="1" t="s">
        <v>16</v>
      </c>
    </row>
    <row r="8" spans="1:18" x14ac:dyDescent="0.3">
      <c r="A8" t="s">
        <v>26</v>
      </c>
      <c r="B8" s="1" t="s">
        <v>16</v>
      </c>
      <c r="C8" s="1" t="s">
        <v>16</v>
      </c>
      <c r="D8" s="1"/>
      <c r="E8" s="1" t="s">
        <v>16</v>
      </c>
      <c r="F8" s="1" t="s">
        <v>16</v>
      </c>
      <c r="G8" s="1"/>
      <c r="H8" s="1"/>
      <c r="I8" s="1" t="s">
        <v>16</v>
      </c>
      <c r="J8" s="1" t="s">
        <v>16</v>
      </c>
      <c r="K8" s="1" t="s">
        <v>6</v>
      </c>
      <c r="L8" s="1"/>
      <c r="M8" s="1"/>
      <c r="N8" s="1" t="s">
        <v>16</v>
      </c>
      <c r="O8" s="1"/>
      <c r="P8" s="1"/>
      <c r="Q8" s="1" t="s">
        <v>16</v>
      </c>
      <c r="R8" s="1"/>
    </row>
    <row r="9" spans="1:18" x14ac:dyDescent="0.3">
      <c r="A9" t="s">
        <v>27</v>
      </c>
      <c r="B9" s="1" t="s">
        <v>16</v>
      </c>
      <c r="C9" s="1" t="s">
        <v>16</v>
      </c>
      <c r="D9" s="1"/>
      <c r="E9" s="1" t="s">
        <v>16</v>
      </c>
      <c r="F9" s="1" t="s">
        <v>16</v>
      </c>
      <c r="G9" s="1"/>
      <c r="H9" s="1"/>
      <c r="I9" s="1" t="s">
        <v>16</v>
      </c>
      <c r="J9" s="1" t="s">
        <v>16</v>
      </c>
      <c r="K9" s="1"/>
      <c r="L9" s="1"/>
      <c r="M9" s="1"/>
      <c r="N9" s="1" t="s">
        <v>16</v>
      </c>
      <c r="O9" s="1"/>
      <c r="P9" s="1"/>
      <c r="Q9" s="1" t="s">
        <v>16</v>
      </c>
      <c r="R9" s="1"/>
    </row>
    <row r="10" spans="1:18" x14ac:dyDescent="0.3">
      <c r="A10" t="s">
        <v>28</v>
      </c>
      <c r="B10" s="1" t="s">
        <v>16</v>
      </c>
      <c r="C10" s="1"/>
      <c r="D10" s="1" t="s">
        <v>16</v>
      </c>
      <c r="E10" s="1"/>
      <c r="F10" s="1" t="s">
        <v>16</v>
      </c>
      <c r="G10" s="1"/>
      <c r="H10" s="1"/>
      <c r="I10" s="1"/>
      <c r="J10" s="1" t="s">
        <v>16</v>
      </c>
      <c r="K10" s="1" t="s">
        <v>6</v>
      </c>
      <c r="L10" s="1"/>
      <c r="M10" s="1"/>
      <c r="N10" s="1"/>
      <c r="O10" s="1"/>
      <c r="P10" s="1"/>
      <c r="Q10" s="1" t="s">
        <v>16</v>
      </c>
      <c r="R10" s="1" t="s">
        <v>16</v>
      </c>
    </row>
    <row r="11" spans="1:18" x14ac:dyDescent="0.3">
      <c r="A11" t="s">
        <v>29</v>
      </c>
      <c r="B11" s="1"/>
      <c r="C11" s="1" t="s">
        <v>16</v>
      </c>
      <c r="D11" s="1" t="s">
        <v>16</v>
      </c>
      <c r="E11" s="1" t="s">
        <v>16</v>
      </c>
      <c r="F11" s="1"/>
      <c r="G11" s="1" t="s">
        <v>16</v>
      </c>
      <c r="H11" s="1" t="s">
        <v>16</v>
      </c>
      <c r="I11" s="1" t="s">
        <v>16</v>
      </c>
      <c r="J11" s="1"/>
      <c r="K11" s="1"/>
      <c r="L11" s="1"/>
      <c r="M11" s="1" t="s">
        <v>16</v>
      </c>
      <c r="N11" s="1" t="s">
        <v>16</v>
      </c>
      <c r="O11" s="1" t="s">
        <v>16</v>
      </c>
      <c r="P11" s="1" t="s">
        <v>16</v>
      </c>
      <c r="Q11" s="1"/>
      <c r="R11" s="1" t="s">
        <v>16</v>
      </c>
    </row>
    <row r="12" spans="1:18" x14ac:dyDescent="0.3">
      <c r="A12" t="s">
        <v>30</v>
      </c>
      <c r="B12" s="1"/>
      <c r="C12" s="1" t="s">
        <v>16</v>
      </c>
      <c r="D12" s="1" t="s">
        <v>16</v>
      </c>
      <c r="E12" s="1" t="s">
        <v>16</v>
      </c>
      <c r="F12" s="1"/>
      <c r="G12" s="1" t="s">
        <v>16</v>
      </c>
      <c r="H12" s="1" t="s">
        <v>16</v>
      </c>
      <c r="I12" s="1" t="s">
        <v>16</v>
      </c>
      <c r="J12" s="1"/>
      <c r="K12" s="1"/>
      <c r="L12" s="1"/>
      <c r="M12" s="1" t="s">
        <v>16</v>
      </c>
      <c r="N12" s="1" t="s">
        <v>16</v>
      </c>
      <c r="O12" s="1" t="s">
        <v>16</v>
      </c>
      <c r="P12" s="1" t="s">
        <v>16</v>
      </c>
      <c r="Q12" s="1"/>
      <c r="R12" s="1" t="s">
        <v>16</v>
      </c>
    </row>
    <row r="13" spans="1:18" x14ac:dyDescent="0.3">
      <c r="A13" t="s">
        <v>31</v>
      </c>
      <c r="B13" s="1" t="s">
        <v>16</v>
      </c>
      <c r="C13" s="1"/>
      <c r="D13" s="1" t="s">
        <v>16</v>
      </c>
      <c r="E13" s="1"/>
      <c r="F13" s="1" t="s">
        <v>16</v>
      </c>
      <c r="G13" s="1"/>
      <c r="H13" s="1"/>
      <c r="I13" s="1"/>
      <c r="J13" s="1" t="s">
        <v>16</v>
      </c>
      <c r="K13" s="1"/>
      <c r="L13" s="1"/>
      <c r="M13" s="1"/>
      <c r="N13" s="1"/>
      <c r="O13" s="1"/>
      <c r="P13" s="1"/>
      <c r="Q13" s="1" t="s">
        <v>16</v>
      </c>
      <c r="R13" s="1" t="s">
        <v>16</v>
      </c>
    </row>
    <row r="14" spans="1:18" x14ac:dyDescent="0.3">
      <c r="A14" t="s">
        <v>32</v>
      </c>
      <c r="B14" s="1"/>
      <c r="C14" s="1" t="s">
        <v>16</v>
      </c>
      <c r="D14" s="1" t="s">
        <v>16</v>
      </c>
      <c r="E14" s="1" t="s">
        <v>16</v>
      </c>
      <c r="F14" s="1"/>
      <c r="G14" s="1" t="s">
        <v>16</v>
      </c>
      <c r="H14" s="1" t="s">
        <v>16</v>
      </c>
      <c r="I14" s="1" t="s">
        <v>16</v>
      </c>
      <c r="J14" s="1"/>
      <c r="K14" s="1"/>
      <c r="L14" s="1"/>
      <c r="M14" s="1" t="s">
        <v>16</v>
      </c>
      <c r="N14" s="1" t="s">
        <v>16</v>
      </c>
      <c r="O14" s="1" t="s">
        <v>16</v>
      </c>
      <c r="P14" s="1" t="s">
        <v>16</v>
      </c>
      <c r="Q14" s="1"/>
      <c r="R14" s="1" t="s">
        <v>16</v>
      </c>
    </row>
    <row r="15" spans="1:18" x14ac:dyDescent="0.3">
      <c r="A15" t="s">
        <v>33</v>
      </c>
      <c r="B15" s="1" t="s">
        <v>16</v>
      </c>
      <c r="C15" s="1" t="s">
        <v>16</v>
      </c>
      <c r="D15" s="1"/>
      <c r="E15" s="1" t="s">
        <v>16</v>
      </c>
      <c r="F15" s="1" t="s">
        <v>16</v>
      </c>
      <c r="G15" s="1"/>
      <c r="H15" s="1"/>
      <c r="I15" s="1" t="s">
        <v>16</v>
      </c>
      <c r="J15" s="1" t="s">
        <v>16</v>
      </c>
      <c r="K15" s="1"/>
      <c r="L15" s="1"/>
      <c r="M15" s="1"/>
      <c r="N15" s="1" t="s">
        <v>16</v>
      </c>
      <c r="O15" s="1"/>
      <c r="P15" s="1"/>
      <c r="Q15" s="1" t="s">
        <v>16</v>
      </c>
      <c r="R15" s="1"/>
    </row>
    <row r="16" spans="1:18" x14ac:dyDescent="0.3">
      <c r="A16" t="s">
        <v>34</v>
      </c>
      <c r="B16" s="1" t="s">
        <v>16</v>
      </c>
      <c r="C16" s="1" t="s">
        <v>16</v>
      </c>
      <c r="D16" s="1"/>
      <c r="E16" s="1" t="s">
        <v>16</v>
      </c>
      <c r="F16" s="1" t="s">
        <v>16</v>
      </c>
      <c r="G16" s="1"/>
      <c r="H16" s="1"/>
      <c r="I16" s="1" t="s">
        <v>16</v>
      </c>
      <c r="J16" s="1" t="s">
        <v>16</v>
      </c>
      <c r="K16" s="1"/>
      <c r="L16" s="1"/>
      <c r="M16" s="1"/>
      <c r="N16" s="1" t="s">
        <v>16</v>
      </c>
      <c r="O16" s="1"/>
      <c r="P16" s="1"/>
      <c r="Q16" s="1" t="s">
        <v>16</v>
      </c>
      <c r="R16" s="1"/>
    </row>
    <row r="17" spans="1:18" x14ac:dyDescent="0.3">
      <c r="A17" t="s">
        <v>35</v>
      </c>
      <c r="B17" s="1" t="s">
        <v>16</v>
      </c>
      <c r="C17" s="1" t="s">
        <v>16</v>
      </c>
      <c r="D17" s="1"/>
      <c r="E17" s="1" t="s">
        <v>16</v>
      </c>
      <c r="F17" s="1" t="s">
        <v>16</v>
      </c>
      <c r="G17" s="1"/>
      <c r="H17" s="1"/>
      <c r="I17" s="1" t="s">
        <v>16</v>
      </c>
      <c r="J17" s="1" t="s">
        <v>16</v>
      </c>
      <c r="K17" s="1"/>
      <c r="L17" s="1"/>
      <c r="M17" s="1"/>
      <c r="N17" s="1" t="s">
        <v>16</v>
      </c>
      <c r="O17" s="1"/>
      <c r="P17" s="1"/>
      <c r="Q17" s="1" t="s">
        <v>16</v>
      </c>
      <c r="R17" s="1"/>
    </row>
    <row r="18" spans="1:18" x14ac:dyDescent="0.3">
      <c r="A18" t="s">
        <v>36</v>
      </c>
      <c r="B18" s="1"/>
      <c r="C18" s="1" t="s">
        <v>16</v>
      </c>
      <c r="D18" s="1" t="s">
        <v>16</v>
      </c>
      <c r="E18" s="1" t="s">
        <v>16</v>
      </c>
      <c r="F18" s="1"/>
      <c r="G18" s="1" t="s">
        <v>16</v>
      </c>
      <c r="H18" s="1" t="s">
        <v>16</v>
      </c>
      <c r="I18" s="1" t="s">
        <v>16</v>
      </c>
      <c r="J18" s="1"/>
      <c r="K18" s="1"/>
      <c r="L18" s="1"/>
      <c r="M18" s="1" t="s">
        <v>16</v>
      </c>
      <c r="N18" s="1" t="s">
        <v>16</v>
      </c>
      <c r="O18" s="1" t="s">
        <v>16</v>
      </c>
      <c r="P18" s="1" t="s">
        <v>16</v>
      </c>
      <c r="Q18" s="1"/>
      <c r="R18" s="1" t="s">
        <v>16</v>
      </c>
    </row>
    <row r="19" spans="1:18" x14ac:dyDescent="0.3">
      <c r="A19" t="s">
        <v>37</v>
      </c>
      <c r="B19" s="1"/>
      <c r="C19" s="1" t="s">
        <v>16</v>
      </c>
      <c r="D19" s="1" t="s">
        <v>16</v>
      </c>
      <c r="E19" s="1" t="s">
        <v>16</v>
      </c>
      <c r="F19" s="1"/>
      <c r="G19" s="1" t="s">
        <v>16</v>
      </c>
      <c r="H19" s="1" t="s">
        <v>16</v>
      </c>
      <c r="I19" s="1" t="s">
        <v>16</v>
      </c>
      <c r="J19" s="1"/>
      <c r="K19" s="1"/>
      <c r="L19" s="1"/>
      <c r="M19" s="1" t="s">
        <v>16</v>
      </c>
      <c r="N19" s="1" t="s">
        <v>16</v>
      </c>
      <c r="O19" s="1" t="s">
        <v>16</v>
      </c>
      <c r="P19" s="1" t="s">
        <v>16</v>
      </c>
      <c r="Q19" s="1"/>
      <c r="R19" s="1" t="s">
        <v>16</v>
      </c>
    </row>
    <row r="20" spans="1:18" x14ac:dyDescent="0.3">
      <c r="A20" t="s">
        <v>38</v>
      </c>
      <c r="B20" s="1"/>
      <c r="C20" s="1" t="s">
        <v>16</v>
      </c>
      <c r="D20" s="1" t="s">
        <v>16</v>
      </c>
      <c r="E20" s="1" t="s">
        <v>16</v>
      </c>
      <c r="F20" s="1"/>
      <c r="G20" s="1" t="s">
        <v>16</v>
      </c>
      <c r="H20" s="1" t="s">
        <v>16</v>
      </c>
      <c r="I20" s="1" t="s">
        <v>16</v>
      </c>
      <c r="J20" s="1"/>
      <c r="K20" s="1"/>
      <c r="L20" s="1"/>
      <c r="M20" s="1" t="s">
        <v>16</v>
      </c>
      <c r="N20" s="1" t="s">
        <v>16</v>
      </c>
      <c r="O20" s="1" t="s">
        <v>16</v>
      </c>
      <c r="P20" s="1" t="s">
        <v>16</v>
      </c>
      <c r="Q20" s="1"/>
      <c r="R20" s="1" t="s">
        <v>16</v>
      </c>
    </row>
    <row r="21" spans="1:18" x14ac:dyDescent="0.3">
      <c r="A21" t="s">
        <v>39</v>
      </c>
      <c r="B21" s="1" t="s">
        <v>16</v>
      </c>
      <c r="C21" s="1"/>
      <c r="D21" s="1" t="s">
        <v>16</v>
      </c>
      <c r="E21" s="1"/>
      <c r="F21" s="1" t="s">
        <v>16</v>
      </c>
      <c r="G21" s="1"/>
      <c r="H21" s="1"/>
      <c r="I21" s="1"/>
      <c r="J21" s="1" t="s">
        <v>16</v>
      </c>
      <c r="K21" s="1"/>
      <c r="L21" s="1"/>
      <c r="M21" s="1"/>
      <c r="N21" s="1"/>
      <c r="O21" s="1"/>
      <c r="P21" s="1"/>
      <c r="Q21" s="1" t="s">
        <v>16</v>
      </c>
      <c r="R21" s="1" t="s">
        <v>16</v>
      </c>
    </row>
    <row r="22" spans="1:18" x14ac:dyDescent="0.3">
      <c r="A22" t="s">
        <v>40</v>
      </c>
      <c r="B22" s="1" t="s">
        <v>16</v>
      </c>
      <c r="C22" s="1" t="s">
        <v>6</v>
      </c>
      <c r="D22" s="1" t="s">
        <v>16</v>
      </c>
      <c r="E22" s="1"/>
      <c r="F22" s="1" t="s">
        <v>16</v>
      </c>
      <c r="G22" s="1"/>
      <c r="H22" s="1"/>
      <c r="I22" s="1"/>
      <c r="J22" s="1" t="s">
        <v>16</v>
      </c>
      <c r="K22" s="1" t="s">
        <v>6</v>
      </c>
      <c r="L22" s="1"/>
      <c r="M22" s="1"/>
      <c r="N22" s="1"/>
      <c r="O22" s="1"/>
      <c r="P22" s="1"/>
      <c r="Q22" s="1" t="s">
        <v>16</v>
      </c>
      <c r="R22" s="1" t="s">
        <v>16</v>
      </c>
    </row>
    <row r="23" spans="1:18" x14ac:dyDescent="0.3">
      <c r="A23" t="s">
        <v>41</v>
      </c>
      <c r="B23" s="1" t="s">
        <v>16</v>
      </c>
      <c r="C23" s="1"/>
      <c r="D23" s="1" t="s">
        <v>16</v>
      </c>
      <c r="E23" s="1"/>
      <c r="F23" s="1" t="s">
        <v>16</v>
      </c>
      <c r="G23" s="1"/>
      <c r="H23" s="1"/>
      <c r="I23" s="1"/>
      <c r="J23" s="1" t="s">
        <v>16</v>
      </c>
      <c r="K23" s="1"/>
      <c r="L23" s="1"/>
      <c r="M23" s="1"/>
      <c r="N23" s="1"/>
      <c r="O23" s="1"/>
      <c r="P23" s="1"/>
      <c r="Q23" s="1" t="s">
        <v>16</v>
      </c>
      <c r="R23" s="1" t="s">
        <v>16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1"/>
  <dimension ref="A1:K23"/>
  <sheetViews>
    <sheetView workbookViewId="0">
      <selection activeCell="F25" sqref="F25"/>
    </sheetView>
  </sheetViews>
  <sheetFormatPr baseColWidth="10" defaultRowHeight="14.4" x14ac:dyDescent="0.3"/>
  <cols>
    <col min="1" max="1" width="12.6640625" bestFit="1" customWidth="1"/>
    <col min="2" max="2" width="10.6640625" bestFit="1" customWidth="1"/>
    <col min="3" max="3" width="6" bestFit="1" customWidth="1"/>
    <col min="4" max="4" width="8.6640625" bestFit="1" customWidth="1"/>
    <col min="5" max="5" width="10" customWidth="1"/>
    <col min="6" max="6" width="9.33203125" bestFit="1" customWidth="1"/>
    <col min="7" max="7" width="8.6640625" bestFit="1" customWidth="1"/>
    <col min="8" max="8" width="10.6640625" bestFit="1" customWidth="1"/>
    <col min="9" max="11" width="8.6640625" bestFit="1" customWidth="1"/>
  </cols>
  <sheetData>
    <row r="1" spans="1:11" x14ac:dyDescent="0.3">
      <c r="A1">
        <v>44</v>
      </c>
      <c r="B1" t="s">
        <v>19</v>
      </c>
      <c r="F1" t="s">
        <v>20</v>
      </c>
      <c r="J1" t="s">
        <v>17</v>
      </c>
    </row>
    <row r="2" spans="1:11" x14ac:dyDescent="0.3">
      <c r="B2" s="1" t="s">
        <v>1</v>
      </c>
      <c r="C2" s="1" t="s">
        <v>2</v>
      </c>
      <c r="D2" s="1" t="s">
        <v>0</v>
      </c>
      <c r="E2" s="1" t="s">
        <v>46</v>
      </c>
      <c r="F2" s="1" t="s">
        <v>3</v>
      </c>
      <c r="G2" s="1" t="s">
        <v>0</v>
      </c>
      <c r="H2" s="1" t="s">
        <v>1</v>
      </c>
      <c r="I2" s="1" t="s">
        <v>0</v>
      </c>
      <c r="J2" s="1" t="s">
        <v>3</v>
      </c>
      <c r="K2" s="1" t="s">
        <v>3</v>
      </c>
    </row>
    <row r="3" spans="1:11" x14ac:dyDescent="0.3">
      <c r="B3" s="1">
        <v>8.25</v>
      </c>
      <c r="C3" s="1">
        <v>10.25</v>
      </c>
      <c r="D3" s="1">
        <v>13.5</v>
      </c>
      <c r="E3" s="1">
        <v>14</v>
      </c>
      <c r="F3" s="1">
        <v>8.5</v>
      </c>
      <c r="G3" s="1">
        <v>8.5</v>
      </c>
      <c r="H3" s="1">
        <v>14</v>
      </c>
      <c r="I3" s="1">
        <v>14</v>
      </c>
      <c r="J3" s="1">
        <v>8</v>
      </c>
      <c r="K3" s="1">
        <v>10</v>
      </c>
    </row>
    <row r="4" spans="1:11" x14ac:dyDescent="0.3">
      <c r="B4" s="1">
        <v>9.75</v>
      </c>
      <c r="C4" s="1">
        <v>12.25</v>
      </c>
      <c r="D4" s="1">
        <v>17.5</v>
      </c>
      <c r="E4" s="1">
        <v>16</v>
      </c>
      <c r="F4" s="1">
        <v>11.5</v>
      </c>
      <c r="G4" s="1">
        <v>12.5</v>
      </c>
      <c r="H4" s="1">
        <v>15.5</v>
      </c>
      <c r="I4" s="1">
        <v>18</v>
      </c>
      <c r="J4" s="1">
        <v>10</v>
      </c>
      <c r="K4" s="1">
        <v>12</v>
      </c>
    </row>
    <row r="5" spans="1:11" x14ac:dyDescent="0.3">
      <c r="A5" t="s">
        <v>23</v>
      </c>
      <c r="B5" s="1"/>
      <c r="C5" s="1" t="s">
        <v>16</v>
      </c>
      <c r="D5" s="1" t="s">
        <v>16</v>
      </c>
      <c r="E5" s="1"/>
      <c r="F5" s="1"/>
      <c r="G5" s="1" t="s">
        <v>16</v>
      </c>
      <c r="H5" s="1"/>
      <c r="I5" s="1" t="s">
        <v>16</v>
      </c>
      <c r="J5" s="1"/>
      <c r="K5" s="1"/>
    </row>
    <row r="6" spans="1:11" x14ac:dyDescent="0.3">
      <c r="A6" t="s">
        <v>24</v>
      </c>
      <c r="B6" s="1"/>
      <c r="C6" s="1" t="s">
        <v>16</v>
      </c>
      <c r="D6" s="1" t="s">
        <v>16</v>
      </c>
      <c r="E6" s="1"/>
      <c r="F6" s="1"/>
      <c r="G6" s="1" t="s">
        <v>16</v>
      </c>
      <c r="H6" s="1"/>
      <c r="I6" s="1" t="s">
        <v>16</v>
      </c>
      <c r="J6" s="1"/>
      <c r="K6" s="1"/>
    </row>
    <row r="7" spans="1:11" x14ac:dyDescent="0.3">
      <c r="A7" t="s">
        <v>25</v>
      </c>
      <c r="B7" s="1" t="s">
        <v>16</v>
      </c>
      <c r="C7" s="1" t="s">
        <v>16</v>
      </c>
      <c r="D7" s="1"/>
      <c r="E7" s="1" t="s">
        <v>16</v>
      </c>
      <c r="F7" s="1" t="s">
        <v>16</v>
      </c>
      <c r="G7" s="1"/>
      <c r="H7" s="1" t="s">
        <v>16</v>
      </c>
      <c r="I7" s="1"/>
      <c r="J7" s="1" t="s">
        <v>16</v>
      </c>
      <c r="K7" s="1" t="s">
        <v>16</v>
      </c>
    </row>
    <row r="8" spans="1:11" x14ac:dyDescent="0.3">
      <c r="A8" t="s">
        <v>26</v>
      </c>
      <c r="B8" s="1"/>
      <c r="C8" s="1" t="s">
        <v>16</v>
      </c>
      <c r="D8" s="1" t="s">
        <v>16</v>
      </c>
      <c r="E8" s="1"/>
      <c r="F8" s="1"/>
      <c r="G8" s="1" t="s">
        <v>16</v>
      </c>
      <c r="H8" s="1"/>
      <c r="I8" s="1" t="s">
        <v>16</v>
      </c>
      <c r="J8" s="1"/>
      <c r="K8" s="1"/>
    </row>
    <row r="9" spans="1:11" x14ac:dyDescent="0.3">
      <c r="A9" t="s">
        <v>27</v>
      </c>
      <c r="B9" s="1"/>
      <c r="C9" s="1" t="s">
        <v>16</v>
      </c>
      <c r="D9" s="1" t="s">
        <v>16</v>
      </c>
      <c r="E9" s="1"/>
      <c r="F9" s="1"/>
      <c r="G9" s="1" t="s">
        <v>16</v>
      </c>
      <c r="H9" s="1"/>
      <c r="I9" s="1" t="s">
        <v>16</v>
      </c>
      <c r="J9" s="1"/>
      <c r="K9" s="1"/>
    </row>
    <row r="10" spans="1:11" x14ac:dyDescent="0.3">
      <c r="A10" t="s">
        <v>28</v>
      </c>
      <c r="B10" s="1"/>
      <c r="C10" s="1"/>
      <c r="D10" s="1" t="s">
        <v>16</v>
      </c>
      <c r="E10" s="1"/>
      <c r="F10" s="1" t="s">
        <v>16</v>
      </c>
      <c r="G10" s="1" t="s">
        <v>16</v>
      </c>
      <c r="H10" s="1"/>
      <c r="I10" s="1" t="s">
        <v>16</v>
      </c>
      <c r="J10" s="1" t="s">
        <v>16</v>
      </c>
      <c r="K10" s="1" t="s">
        <v>16</v>
      </c>
    </row>
    <row r="11" spans="1:11" x14ac:dyDescent="0.3">
      <c r="A11" t="s">
        <v>29</v>
      </c>
      <c r="B11" s="1" t="s">
        <v>16</v>
      </c>
      <c r="C11" s="1" t="s">
        <v>16</v>
      </c>
      <c r="D11" s="1"/>
      <c r="E11" s="1" t="s">
        <v>16</v>
      </c>
      <c r="F11" s="1" t="s">
        <v>16</v>
      </c>
      <c r="G11" s="1"/>
      <c r="H11" s="1" t="s">
        <v>16</v>
      </c>
      <c r="I11" s="1"/>
      <c r="J11" s="1" t="s">
        <v>16</v>
      </c>
      <c r="K11" s="1" t="s">
        <v>16</v>
      </c>
    </row>
    <row r="12" spans="1:11" x14ac:dyDescent="0.3">
      <c r="A12" t="s">
        <v>30</v>
      </c>
      <c r="B12" s="1" t="s">
        <v>16</v>
      </c>
      <c r="C12" s="1" t="s">
        <v>16</v>
      </c>
      <c r="D12" s="1"/>
      <c r="E12" s="1" t="s">
        <v>16</v>
      </c>
      <c r="F12" s="1" t="s">
        <v>16</v>
      </c>
      <c r="G12" s="1"/>
      <c r="H12" s="1" t="s">
        <v>16</v>
      </c>
      <c r="I12" s="1"/>
      <c r="J12" s="1" t="s">
        <v>16</v>
      </c>
      <c r="K12" s="1" t="s">
        <v>16</v>
      </c>
    </row>
    <row r="13" spans="1:11" x14ac:dyDescent="0.3">
      <c r="A13" t="s">
        <v>31</v>
      </c>
      <c r="B13" s="1"/>
      <c r="C13" s="1"/>
      <c r="D13" s="1" t="s">
        <v>16</v>
      </c>
      <c r="E13" s="1"/>
      <c r="F13" s="1" t="s">
        <v>16</v>
      </c>
      <c r="G13" s="1" t="s">
        <v>16</v>
      </c>
      <c r="H13" s="1"/>
      <c r="I13" s="1" t="s">
        <v>16</v>
      </c>
      <c r="J13" s="1" t="s">
        <v>16</v>
      </c>
      <c r="K13" s="1" t="s">
        <v>16</v>
      </c>
    </row>
    <row r="14" spans="1:11" x14ac:dyDescent="0.3">
      <c r="A14" t="s">
        <v>32</v>
      </c>
      <c r="B14" s="1" t="s">
        <v>16</v>
      </c>
      <c r="C14" s="1" t="s">
        <v>16</v>
      </c>
      <c r="D14" s="1"/>
      <c r="E14" s="1" t="s">
        <v>16</v>
      </c>
      <c r="F14" s="1" t="s">
        <v>16</v>
      </c>
      <c r="G14" s="1"/>
      <c r="H14" s="1" t="s">
        <v>16</v>
      </c>
      <c r="I14" s="1"/>
      <c r="J14" s="1" t="s">
        <v>16</v>
      </c>
      <c r="K14" s="1" t="s">
        <v>16</v>
      </c>
    </row>
    <row r="15" spans="1:11" x14ac:dyDescent="0.3">
      <c r="A15" t="s">
        <v>33</v>
      </c>
      <c r="B15" s="1"/>
      <c r="C15" s="1" t="s">
        <v>16</v>
      </c>
      <c r="D15" s="1" t="s">
        <v>16</v>
      </c>
      <c r="E15" s="1"/>
      <c r="F15" s="1"/>
      <c r="G15" s="1" t="s">
        <v>16</v>
      </c>
      <c r="H15" s="1"/>
      <c r="I15" s="1" t="s">
        <v>16</v>
      </c>
      <c r="J15" s="1"/>
      <c r="K15" s="1"/>
    </row>
    <row r="16" spans="1:11" x14ac:dyDescent="0.3">
      <c r="A16" t="s">
        <v>34</v>
      </c>
      <c r="B16" s="1"/>
      <c r="C16" s="1" t="s">
        <v>16</v>
      </c>
      <c r="D16" s="1" t="s">
        <v>16</v>
      </c>
      <c r="E16" s="1"/>
      <c r="F16" s="1"/>
      <c r="G16" s="1" t="s">
        <v>16</v>
      </c>
      <c r="H16" s="1"/>
      <c r="I16" s="1" t="s">
        <v>16</v>
      </c>
      <c r="J16" s="1"/>
      <c r="K16" s="1"/>
    </row>
    <row r="17" spans="1:11" x14ac:dyDescent="0.3">
      <c r="A17" t="s">
        <v>35</v>
      </c>
      <c r="B17" s="1"/>
      <c r="C17" s="1" t="s">
        <v>16</v>
      </c>
      <c r="D17" s="1" t="s">
        <v>16</v>
      </c>
      <c r="E17" s="1"/>
      <c r="F17" s="1"/>
      <c r="G17" s="1" t="s">
        <v>16</v>
      </c>
      <c r="H17" s="1"/>
      <c r="I17" s="1" t="s">
        <v>16</v>
      </c>
      <c r="J17" s="1"/>
      <c r="K17" s="1"/>
    </row>
    <row r="18" spans="1:11" x14ac:dyDescent="0.3">
      <c r="A18" t="s">
        <v>36</v>
      </c>
      <c r="B18" s="1" t="s">
        <v>16</v>
      </c>
      <c r="C18" s="1" t="s">
        <v>16</v>
      </c>
      <c r="D18" s="1"/>
      <c r="E18" s="1" t="s">
        <v>16</v>
      </c>
      <c r="F18" s="1" t="s">
        <v>16</v>
      </c>
      <c r="G18" s="1"/>
      <c r="H18" s="1" t="s">
        <v>16</v>
      </c>
      <c r="I18" s="1"/>
      <c r="J18" s="1" t="s">
        <v>16</v>
      </c>
      <c r="K18" s="1" t="s">
        <v>16</v>
      </c>
    </row>
    <row r="19" spans="1:11" x14ac:dyDescent="0.3">
      <c r="A19" t="s">
        <v>37</v>
      </c>
      <c r="B19" s="1" t="s">
        <v>16</v>
      </c>
      <c r="C19" s="1" t="s">
        <v>16</v>
      </c>
      <c r="D19" s="1"/>
      <c r="E19" s="1" t="s">
        <v>16</v>
      </c>
      <c r="F19" s="1" t="s">
        <v>16</v>
      </c>
      <c r="G19" s="1" t="s">
        <v>7</v>
      </c>
      <c r="H19" s="1" t="s">
        <v>16</v>
      </c>
      <c r="I19" s="1" t="s">
        <v>7</v>
      </c>
      <c r="J19" s="1" t="s">
        <v>16</v>
      </c>
      <c r="K19" s="1" t="s">
        <v>16</v>
      </c>
    </row>
    <row r="20" spans="1:11" x14ac:dyDescent="0.3">
      <c r="A20" t="s">
        <v>38</v>
      </c>
      <c r="B20" s="1" t="s">
        <v>16</v>
      </c>
      <c r="C20" s="1" t="s">
        <v>16</v>
      </c>
      <c r="D20" s="1"/>
      <c r="E20" s="1" t="s">
        <v>16</v>
      </c>
      <c r="F20" s="1" t="s">
        <v>16</v>
      </c>
      <c r="G20" s="1"/>
      <c r="H20" s="1" t="s">
        <v>16</v>
      </c>
      <c r="I20" s="1"/>
      <c r="J20" s="1" t="s">
        <v>16</v>
      </c>
      <c r="K20" s="1" t="s">
        <v>16</v>
      </c>
    </row>
    <row r="21" spans="1:11" x14ac:dyDescent="0.3">
      <c r="A21" t="s">
        <v>39</v>
      </c>
      <c r="B21" s="1"/>
      <c r="C21" s="1"/>
      <c r="D21" s="1" t="s">
        <v>16</v>
      </c>
      <c r="E21" s="1"/>
      <c r="F21" s="1" t="s">
        <v>16</v>
      </c>
      <c r="G21" s="1" t="s">
        <v>16</v>
      </c>
      <c r="H21" s="1"/>
      <c r="I21" s="1" t="s">
        <v>16</v>
      </c>
      <c r="J21" s="1" t="s">
        <v>16</v>
      </c>
      <c r="K21" s="1" t="s">
        <v>16</v>
      </c>
    </row>
    <row r="22" spans="1:11" x14ac:dyDescent="0.3">
      <c r="A22" t="s">
        <v>40</v>
      </c>
      <c r="B22" s="1"/>
      <c r="C22" s="1"/>
      <c r="D22" s="1" t="s">
        <v>16</v>
      </c>
      <c r="E22" s="1"/>
      <c r="F22" s="1" t="s">
        <v>16</v>
      </c>
      <c r="G22" s="1" t="s">
        <v>16</v>
      </c>
      <c r="H22" s="1"/>
      <c r="I22" s="1" t="s">
        <v>16</v>
      </c>
      <c r="J22" s="1" t="s">
        <v>16</v>
      </c>
      <c r="K22" s="1" t="s">
        <v>16</v>
      </c>
    </row>
    <row r="23" spans="1:11" x14ac:dyDescent="0.3">
      <c r="A23" t="s">
        <v>41</v>
      </c>
      <c r="B23" s="1"/>
      <c r="C23" s="1"/>
      <c r="D23" s="1" t="s">
        <v>16</v>
      </c>
      <c r="E23" s="1"/>
      <c r="F23" s="1" t="s">
        <v>16</v>
      </c>
      <c r="G23" s="1" t="s">
        <v>16</v>
      </c>
      <c r="H23" s="1"/>
      <c r="I23" s="1" t="s">
        <v>16</v>
      </c>
      <c r="J23" s="1" t="s">
        <v>16</v>
      </c>
      <c r="K23" s="1" t="s">
        <v>16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2"/>
  <dimension ref="A1:K23"/>
  <sheetViews>
    <sheetView workbookViewId="0">
      <selection activeCell="F25" sqref="F25"/>
    </sheetView>
  </sheetViews>
  <sheetFormatPr baseColWidth="10" defaultRowHeight="14.4" x14ac:dyDescent="0.3"/>
  <cols>
    <col min="1" max="1" width="12.6640625" bestFit="1" customWidth="1"/>
    <col min="2" max="2" width="5.88671875" bestFit="1" customWidth="1"/>
    <col min="3" max="3" width="4.6640625" bestFit="1" customWidth="1"/>
    <col min="4" max="4" width="6" bestFit="1" customWidth="1"/>
    <col min="5" max="5" width="8.6640625" bestFit="1" customWidth="1"/>
    <col min="6" max="6" width="3.44140625" bestFit="1" customWidth="1"/>
    <col min="7" max="7" width="6" bestFit="1" customWidth="1"/>
    <col min="8" max="8" width="9" bestFit="1" customWidth="1"/>
    <col min="9" max="9" width="4.44140625" bestFit="1" customWidth="1"/>
    <col min="10" max="10" width="6" bestFit="1" customWidth="1"/>
    <col min="11" max="11" width="7.33203125" bestFit="1" customWidth="1"/>
  </cols>
  <sheetData>
    <row r="1" spans="1:11" x14ac:dyDescent="0.3">
      <c r="A1">
        <v>45</v>
      </c>
      <c r="B1" t="s">
        <v>21</v>
      </c>
      <c r="E1" t="s">
        <v>22</v>
      </c>
      <c r="H1" t="s">
        <v>18</v>
      </c>
    </row>
    <row r="2" spans="1:11" x14ac:dyDescent="0.3">
      <c r="B2" s="1" t="s">
        <v>10</v>
      </c>
      <c r="C2" s="1" t="s">
        <v>11</v>
      </c>
      <c r="D2" s="1" t="s">
        <v>12</v>
      </c>
      <c r="E2" s="1" t="s">
        <v>0</v>
      </c>
      <c r="F2" s="1" t="s">
        <v>10</v>
      </c>
      <c r="G2" s="1" t="s">
        <v>12</v>
      </c>
      <c r="H2" s="1" t="s">
        <v>13</v>
      </c>
      <c r="I2" s="1" t="s">
        <v>13</v>
      </c>
      <c r="J2" s="1" t="s">
        <v>11</v>
      </c>
      <c r="K2" s="1" t="s">
        <v>4</v>
      </c>
    </row>
    <row r="3" spans="1:11" x14ac:dyDescent="0.3">
      <c r="B3" s="1">
        <v>9</v>
      </c>
      <c r="C3" s="1">
        <v>14</v>
      </c>
      <c r="D3" s="1">
        <v>17.25</v>
      </c>
      <c r="E3" s="1">
        <v>9.5</v>
      </c>
      <c r="F3" s="1">
        <v>14</v>
      </c>
      <c r="G3" s="1">
        <v>17.25</v>
      </c>
      <c r="H3" s="1">
        <v>8</v>
      </c>
      <c r="I3" s="1">
        <v>10</v>
      </c>
      <c r="J3" s="1">
        <v>13.75</v>
      </c>
      <c r="K3" s="1">
        <v>16.75</v>
      </c>
    </row>
    <row r="4" spans="1:11" x14ac:dyDescent="0.3">
      <c r="B4" s="1">
        <v>12</v>
      </c>
      <c r="C4" s="1">
        <v>17</v>
      </c>
      <c r="D4" s="1">
        <v>19.25</v>
      </c>
      <c r="E4" s="1">
        <v>13.5</v>
      </c>
      <c r="F4" s="1">
        <v>17</v>
      </c>
      <c r="G4" s="1">
        <v>19.25</v>
      </c>
      <c r="H4" s="1">
        <v>10</v>
      </c>
      <c r="I4" s="1">
        <v>12</v>
      </c>
      <c r="J4" s="1">
        <v>16.75</v>
      </c>
      <c r="K4" s="1">
        <v>18.75</v>
      </c>
    </row>
    <row r="5" spans="1:11" x14ac:dyDescent="0.3">
      <c r="A5" t="s">
        <v>23</v>
      </c>
      <c r="B5" s="1"/>
      <c r="C5" s="1"/>
      <c r="D5" s="1"/>
      <c r="E5" s="1" t="s">
        <v>16</v>
      </c>
      <c r="F5" s="1"/>
      <c r="G5" s="1"/>
      <c r="H5" s="1"/>
      <c r="I5" s="1"/>
      <c r="J5" s="1"/>
      <c r="K5" s="1"/>
    </row>
    <row r="6" spans="1:11" x14ac:dyDescent="0.3">
      <c r="A6" t="s">
        <v>24</v>
      </c>
      <c r="B6" s="1"/>
      <c r="C6" s="1"/>
      <c r="D6" s="1"/>
      <c r="E6" s="1" t="s">
        <v>16</v>
      </c>
      <c r="F6" s="1"/>
      <c r="G6" s="1"/>
      <c r="H6" s="1"/>
      <c r="I6" s="1"/>
      <c r="J6" s="1"/>
      <c r="K6" s="1"/>
    </row>
    <row r="7" spans="1:11" x14ac:dyDescent="0.3">
      <c r="A7" t="s">
        <v>25</v>
      </c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3">
      <c r="A8" t="s">
        <v>26</v>
      </c>
      <c r="B8" s="1"/>
      <c r="C8" s="1"/>
      <c r="D8" s="1"/>
      <c r="E8" s="1" t="s">
        <v>16</v>
      </c>
      <c r="F8" s="1"/>
      <c r="G8" s="1"/>
      <c r="H8" s="1"/>
      <c r="I8" s="1"/>
      <c r="J8" s="1"/>
      <c r="K8" s="1"/>
    </row>
    <row r="9" spans="1:11" x14ac:dyDescent="0.3">
      <c r="A9" t="s">
        <v>27</v>
      </c>
      <c r="B9" s="1"/>
      <c r="C9" s="1"/>
      <c r="D9" s="1"/>
      <c r="E9" s="1" t="s">
        <v>16</v>
      </c>
      <c r="F9" s="1"/>
      <c r="G9" s="1"/>
      <c r="H9" s="1"/>
      <c r="I9" s="1"/>
      <c r="J9" s="1"/>
      <c r="K9" s="1"/>
    </row>
    <row r="10" spans="1:11" x14ac:dyDescent="0.3">
      <c r="A10" t="s">
        <v>28</v>
      </c>
      <c r="B10" s="1"/>
      <c r="C10" s="1"/>
      <c r="D10" s="1"/>
      <c r="E10" s="1" t="s">
        <v>16</v>
      </c>
      <c r="F10" s="1" t="s">
        <v>6</v>
      </c>
      <c r="G10" s="1" t="s">
        <v>6</v>
      </c>
      <c r="H10" s="1"/>
      <c r="I10" s="1"/>
      <c r="J10" s="1"/>
      <c r="K10" s="1"/>
    </row>
    <row r="11" spans="1:11" x14ac:dyDescent="0.3">
      <c r="A11" t="s">
        <v>29</v>
      </c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3">
      <c r="A12" t="s">
        <v>30</v>
      </c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3">
      <c r="A13" t="s">
        <v>31</v>
      </c>
      <c r="B13" s="1"/>
      <c r="C13" s="1"/>
      <c r="D13" s="1"/>
      <c r="E13" s="1" t="s">
        <v>16</v>
      </c>
      <c r="F13" s="1"/>
      <c r="G13" s="1"/>
      <c r="H13" s="1"/>
      <c r="I13" s="1"/>
      <c r="J13" s="1"/>
      <c r="K13" s="1"/>
    </row>
    <row r="14" spans="1:11" x14ac:dyDescent="0.3">
      <c r="A14" t="s">
        <v>32</v>
      </c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3">
      <c r="A15" t="s">
        <v>33</v>
      </c>
      <c r="B15" s="1"/>
      <c r="C15" s="1"/>
      <c r="D15" s="1"/>
      <c r="E15" s="1" t="s">
        <v>16</v>
      </c>
      <c r="F15" s="1"/>
      <c r="G15" s="1"/>
      <c r="H15" s="1"/>
      <c r="I15" s="1"/>
      <c r="J15" s="1"/>
      <c r="K15" s="1"/>
    </row>
    <row r="16" spans="1:11" x14ac:dyDescent="0.3">
      <c r="A16" t="s">
        <v>34</v>
      </c>
      <c r="B16" s="1"/>
      <c r="C16" s="1"/>
      <c r="D16" s="1"/>
      <c r="E16" s="1" t="s">
        <v>16</v>
      </c>
      <c r="F16" s="1"/>
      <c r="G16" s="1"/>
      <c r="H16" s="1"/>
      <c r="I16" s="1"/>
      <c r="J16" s="1"/>
      <c r="K16" s="1"/>
    </row>
    <row r="17" spans="1:11" x14ac:dyDescent="0.3">
      <c r="A17" t="s">
        <v>35</v>
      </c>
      <c r="B17" s="1"/>
      <c r="C17" s="1"/>
      <c r="D17" s="1"/>
      <c r="E17" s="1" t="s">
        <v>16</v>
      </c>
      <c r="F17" s="1"/>
      <c r="G17" s="1"/>
      <c r="H17" s="1"/>
      <c r="I17" s="1"/>
      <c r="J17" s="1"/>
      <c r="K17" s="1"/>
    </row>
    <row r="18" spans="1:11" x14ac:dyDescent="0.3">
      <c r="A18" t="s">
        <v>36</v>
      </c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3">
      <c r="A19" t="s">
        <v>37</v>
      </c>
      <c r="B19" s="1" t="s">
        <v>7</v>
      </c>
      <c r="C19" s="1" t="s">
        <v>7</v>
      </c>
      <c r="D19" s="1" t="s">
        <v>7</v>
      </c>
      <c r="E19" s="1" t="s">
        <v>9</v>
      </c>
      <c r="F19" s="1" t="s">
        <v>9</v>
      </c>
      <c r="G19" s="1" t="s">
        <v>9</v>
      </c>
      <c r="H19" s="1"/>
      <c r="I19" s="1"/>
      <c r="J19" s="1"/>
      <c r="K19" s="1"/>
    </row>
    <row r="20" spans="1:11" x14ac:dyDescent="0.3">
      <c r="A20" t="s">
        <v>38</v>
      </c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3">
      <c r="A21" t="s">
        <v>39</v>
      </c>
      <c r="B21" s="1"/>
      <c r="C21" s="1"/>
      <c r="D21" s="1"/>
      <c r="E21" s="1" t="s">
        <v>16</v>
      </c>
      <c r="F21" s="1"/>
      <c r="G21" s="1"/>
      <c r="H21" s="1"/>
      <c r="I21" s="1"/>
      <c r="J21" s="1"/>
      <c r="K21" s="1"/>
    </row>
    <row r="22" spans="1:11" x14ac:dyDescent="0.3">
      <c r="A22" t="s">
        <v>40</v>
      </c>
      <c r="B22" s="1"/>
      <c r="C22" s="1"/>
      <c r="D22" s="1"/>
      <c r="E22" s="1" t="s">
        <v>16</v>
      </c>
      <c r="F22" s="1"/>
      <c r="G22" s="1"/>
      <c r="H22" s="1"/>
      <c r="I22" s="1"/>
      <c r="J22" s="1"/>
      <c r="K22" s="1"/>
    </row>
    <row r="23" spans="1:11" x14ac:dyDescent="0.3">
      <c r="A23" t="s">
        <v>41</v>
      </c>
      <c r="B23" s="1"/>
      <c r="C23" s="1"/>
      <c r="D23" s="1"/>
      <c r="E23" s="1" t="s">
        <v>16</v>
      </c>
      <c r="F23" s="1"/>
      <c r="G23" s="1"/>
      <c r="H23" s="1"/>
      <c r="I23" s="1"/>
      <c r="J23" s="1"/>
      <c r="K23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3"/>
  <dimension ref="A1:M23"/>
  <sheetViews>
    <sheetView workbookViewId="0">
      <selection activeCell="F25" sqref="F25"/>
    </sheetView>
  </sheetViews>
  <sheetFormatPr baseColWidth="10" defaultRowHeight="14.4" x14ac:dyDescent="0.3"/>
  <cols>
    <col min="1" max="1" width="12.6640625" bestFit="1" customWidth="1"/>
    <col min="2" max="2" width="5.88671875" bestFit="1" customWidth="1"/>
    <col min="3" max="4" width="6" bestFit="1" customWidth="1"/>
    <col min="5" max="5" width="9.6640625" bestFit="1" customWidth="1"/>
    <col min="6" max="6" width="9" bestFit="1" customWidth="1"/>
    <col min="7" max="7" width="8.6640625" bestFit="1" customWidth="1"/>
    <col min="8" max="8" width="5" bestFit="1" customWidth="1"/>
    <col min="9" max="9" width="5.6640625" bestFit="1" customWidth="1"/>
    <col min="10" max="10" width="9.33203125" bestFit="1" customWidth="1"/>
    <col min="11" max="11" width="8.6640625" bestFit="1" customWidth="1"/>
    <col min="12" max="12" width="6" bestFit="1" customWidth="1"/>
    <col min="13" max="13" width="7.5546875" bestFit="1" customWidth="1"/>
  </cols>
  <sheetData>
    <row r="1" spans="1:13" x14ac:dyDescent="0.3">
      <c r="A1">
        <v>46</v>
      </c>
      <c r="B1" t="s">
        <v>21</v>
      </c>
      <c r="E1" t="s">
        <v>22</v>
      </c>
      <c r="F1" t="s">
        <v>18</v>
      </c>
      <c r="I1" t="s">
        <v>19</v>
      </c>
      <c r="J1" t="s">
        <v>20</v>
      </c>
      <c r="M1" t="s">
        <v>17</v>
      </c>
    </row>
    <row r="2" spans="1:13" x14ac:dyDescent="0.3">
      <c r="B2" s="1" t="s">
        <v>10</v>
      </c>
      <c r="C2" s="1" t="s">
        <v>11</v>
      </c>
      <c r="D2" s="1" t="s">
        <v>12</v>
      </c>
      <c r="E2" s="1" t="s">
        <v>5</v>
      </c>
      <c r="F2" s="1" t="s">
        <v>14</v>
      </c>
      <c r="G2" s="1" t="s">
        <v>8</v>
      </c>
      <c r="H2" s="1" t="s">
        <v>11</v>
      </c>
      <c r="I2" s="1" t="s">
        <v>10</v>
      </c>
      <c r="J2" s="1" t="s">
        <v>4</v>
      </c>
      <c r="K2" s="1" t="s">
        <v>8</v>
      </c>
      <c r="L2" s="1" t="s">
        <v>13</v>
      </c>
      <c r="M2" s="1" t="s">
        <v>12</v>
      </c>
    </row>
    <row r="3" spans="1:13" x14ac:dyDescent="0.3">
      <c r="B3" s="1">
        <v>9</v>
      </c>
      <c r="C3" s="1">
        <v>13.75</v>
      </c>
      <c r="D3" s="1">
        <v>17.25</v>
      </c>
      <c r="E3" s="1">
        <v>8</v>
      </c>
      <c r="F3" s="1">
        <v>8.5</v>
      </c>
      <c r="G3" s="1">
        <v>13.25</v>
      </c>
      <c r="H3" s="1">
        <v>15.5</v>
      </c>
      <c r="I3" s="1">
        <v>8.5</v>
      </c>
      <c r="J3" s="1">
        <v>8</v>
      </c>
      <c r="K3" s="1">
        <v>10.25</v>
      </c>
      <c r="L3" s="1">
        <v>13.75</v>
      </c>
      <c r="M3" s="1">
        <v>8</v>
      </c>
    </row>
    <row r="4" spans="1:13" x14ac:dyDescent="0.3">
      <c r="B4" s="1">
        <v>12</v>
      </c>
      <c r="C4" s="1">
        <v>16.75</v>
      </c>
      <c r="D4" s="1">
        <v>19.25</v>
      </c>
      <c r="E4" s="1">
        <v>10</v>
      </c>
      <c r="F4" s="1">
        <v>11.5</v>
      </c>
      <c r="G4" s="1">
        <v>15.25</v>
      </c>
      <c r="H4" s="1">
        <v>18.5</v>
      </c>
      <c r="I4" s="1">
        <v>11.5</v>
      </c>
      <c r="J4" s="1">
        <v>10</v>
      </c>
      <c r="K4" s="1">
        <v>12.25</v>
      </c>
      <c r="L4" s="1">
        <v>17.75</v>
      </c>
      <c r="M4" s="1">
        <v>12</v>
      </c>
    </row>
    <row r="5" spans="1:13" x14ac:dyDescent="0.3">
      <c r="A5" t="s">
        <v>23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3">
      <c r="A6" t="s">
        <v>24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x14ac:dyDescent="0.3">
      <c r="A7" t="s">
        <v>25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3">
      <c r="A8" t="s">
        <v>26</v>
      </c>
      <c r="B8" s="1"/>
      <c r="C8" s="1"/>
      <c r="D8" s="1"/>
      <c r="E8" s="1" t="s">
        <v>6</v>
      </c>
      <c r="F8" s="1"/>
      <c r="G8" s="1"/>
      <c r="H8" s="1"/>
      <c r="I8" s="1"/>
      <c r="J8" s="1"/>
      <c r="K8" s="1"/>
      <c r="L8" s="1"/>
      <c r="M8" s="1"/>
    </row>
    <row r="9" spans="1:13" x14ac:dyDescent="0.3">
      <c r="A9" t="s">
        <v>27</v>
      </c>
      <c r="B9" s="1" t="s">
        <v>6</v>
      </c>
      <c r="C9" s="1"/>
      <c r="D9" s="1"/>
      <c r="E9" s="1" t="s">
        <v>6</v>
      </c>
      <c r="F9" s="1"/>
      <c r="G9" s="1"/>
      <c r="H9" s="1"/>
      <c r="I9" s="1"/>
      <c r="J9" s="1"/>
      <c r="K9" s="1"/>
      <c r="L9" s="1"/>
      <c r="M9" s="1"/>
    </row>
    <row r="10" spans="1:13" x14ac:dyDescent="0.3">
      <c r="A10" t="s">
        <v>28</v>
      </c>
      <c r="B10" s="1"/>
      <c r="C10" s="1"/>
      <c r="D10" s="1"/>
      <c r="E10" s="1"/>
      <c r="F10" s="1"/>
      <c r="G10" s="1"/>
      <c r="H10" s="1"/>
      <c r="I10" s="1" t="s">
        <v>9</v>
      </c>
      <c r="J10" s="1"/>
      <c r="K10" s="1"/>
      <c r="L10" s="1"/>
      <c r="M10" s="1" t="s">
        <v>6</v>
      </c>
    </row>
    <row r="11" spans="1:13" x14ac:dyDescent="0.3">
      <c r="A11" t="s">
        <v>29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3">
      <c r="A12" t="s">
        <v>30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3">
      <c r="A13" t="s">
        <v>31</v>
      </c>
      <c r="B13" s="1"/>
      <c r="C13" s="1"/>
      <c r="D13" s="1"/>
      <c r="E13" s="1"/>
      <c r="F13" s="1"/>
      <c r="G13" s="1" t="s">
        <v>9</v>
      </c>
      <c r="H13" s="1" t="s">
        <v>9</v>
      </c>
      <c r="I13" s="1"/>
      <c r="J13" s="1"/>
      <c r="K13" s="1"/>
      <c r="L13" s="1"/>
      <c r="M13" s="1"/>
    </row>
    <row r="14" spans="1:13" x14ac:dyDescent="0.3">
      <c r="A14" t="s">
        <v>32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3">
      <c r="A15" t="s">
        <v>33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3">
      <c r="A16" t="s">
        <v>34</v>
      </c>
      <c r="B16" s="1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3">
      <c r="A17" t="s">
        <v>35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3">
      <c r="A18" t="s">
        <v>36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3">
      <c r="A19" t="s">
        <v>37</v>
      </c>
      <c r="B19" s="1"/>
      <c r="C19" s="1"/>
      <c r="D19" s="1"/>
      <c r="E19" s="1"/>
      <c r="F19" s="1"/>
      <c r="G19" s="1"/>
      <c r="H19" s="1"/>
      <c r="I19" s="1"/>
      <c r="J19" s="1"/>
      <c r="K19" s="1" t="s">
        <v>9</v>
      </c>
      <c r="L19" s="1" t="s">
        <v>9</v>
      </c>
      <c r="M19" s="1" t="s">
        <v>9</v>
      </c>
    </row>
    <row r="20" spans="1:13" x14ac:dyDescent="0.3">
      <c r="A20" t="s">
        <v>38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3">
      <c r="A21" t="s">
        <v>39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3">
      <c r="A22" t="s">
        <v>40</v>
      </c>
      <c r="B22" s="1"/>
      <c r="C22" s="1"/>
      <c r="D22" s="1"/>
      <c r="E22" s="1" t="s">
        <v>6</v>
      </c>
      <c r="F22" s="1" t="s">
        <v>6</v>
      </c>
      <c r="G22" s="1"/>
      <c r="H22" s="1"/>
      <c r="I22" s="1"/>
      <c r="J22" s="1"/>
      <c r="K22" s="1" t="s">
        <v>6</v>
      </c>
      <c r="L22" s="1"/>
      <c r="M22" s="1" t="s">
        <v>6</v>
      </c>
    </row>
    <row r="23" spans="1:13" x14ac:dyDescent="0.3">
      <c r="A23" t="s">
        <v>41</v>
      </c>
      <c r="B23" s="1"/>
      <c r="C23" s="1"/>
      <c r="D23" s="1"/>
      <c r="E23" s="1"/>
      <c r="F23" s="1" t="s">
        <v>9</v>
      </c>
      <c r="G23" s="1" t="s">
        <v>9</v>
      </c>
      <c r="H23" s="1" t="s">
        <v>9</v>
      </c>
      <c r="I23" s="1" t="s">
        <v>9</v>
      </c>
      <c r="J23" s="1"/>
      <c r="K23" s="1" t="s">
        <v>9</v>
      </c>
      <c r="L23" s="1" t="s">
        <v>9</v>
      </c>
      <c r="M23" s="1" t="s">
        <v>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4"/>
  <dimension ref="A1:Q23"/>
  <sheetViews>
    <sheetView workbookViewId="0">
      <selection activeCell="F25" sqref="F25"/>
    </sheetView>
  </sheetViews>
  <sheetFormatPr baseColWidth="10" defaultRowHeight="14.4" x14ac:dyDescent="0.3"/>
  <cols>
    <col min="1" max="1" width="12.6640625" bestFit="1" customWidth="1"/>
    <col min="2" max="2" width="5.88671875" bestFit="1" customWidth="1"/>
    <col min="3" max="3" width="6" bestFit="1" customWidth="1"/>
    <col min="4" max="4" width="6.109375" bestFit="1" customWidth="1"/>
    <col min="5" max="5" width="6" bestFit="1" customWidth="1"/>
    <col min="6" max="6" width="9" bestFit="1" customWidth="1"/>
    <col min="7" max="7" width="4.44140625" bestFit="1" customWidth="1"/>
    <col min="8" max="8" width="8.6640625" bestFit="1" customWidth="1"/>
    <col min="9" max="9" width="5" bestFit="1" customWidth="1"/>
    <col min="10" max="10" width="5.6640625" bestFit="1" customWidth="1"/>
    <col min="11" max="11" width="6" bestFit="1" customWidth="1"/>
    <col min="12" max="12" width="9.6640625" bestFit="1" customWidth="1"/>
    <col min="13" max="13" width="9.33203125" bestFit="1" customWidth="1"/>
    <col min="14" max="14" width="6" bestFit="1" customWidth="1"/>
    <col min="15" max="15" width="7.33203125" bestFit="1" customWidth="1"/>
    <col min="16" max="16" width="7.5546875" bestFit="1" customWidth="1"/>
    <col min="17" max="17" width="3.109375" bestFit="1" customWidth="1"/>
  </cols>
  <sheetData>
    <row r="1" spans="1:17" x14ac:dyDescent="0.3">
      <c r="A1">
        <v>49</v>
      </c>
      <c r="B1" t="s">
        <v>21</v>
      </c>
      <c r="D1" t="s">
        <v>22</v>
      </c>
      <c r="F1" t="s">
        <v>18</v>
      </c>
      <c r="J1" t="s">
        <v>19</v>
      </c>
      <c r="M1" t="s">
        <v>20</v>
      </c>
      <c r="P1" t="s">
        <v>17</v>
      </c>
    </row>
    <row r="2" spans="1:17" x14ac:dyDescent="0.3">
      <c r="B2" s="1" t="s">
        <v>11</v>
      </c>
      <c r="C2" s="1" t="s">
        <v>12</v>
      </c>
      <c r="D2" s="1" t="s">
        <v>10</v>
      </c>
      <c r="E2" s="1" t="s">
        <v>13</v>
      </c>
      <c r="F2" s="1" t="s">
        <v>13</v>
      </c>
      <c r="G2" s="1" t="s">
        <v>13</v>
      </c>
      <c r="H2" s="1" t="s">
        <v>8</v>
      </c>
      <c r="I2" s="1" t="s">
        <v>11</v>
      </c>
      <c r="J2" s="1" t="s">
        <v>10</v>
      </c>
      <c r="K2" s="1" t="s">
        <v>11</v>
      </c>
      <c r="L2" s="1" t="s">
        <v>5</v>
      </c>
      <c r="M2" s="1" t="s">
        <v>8</v>
      </c>
      <c r="N2" s="1" t="s">
        <v>11</v>
      </c>
      <c r="O2" s="1" t="s">
        <v>4</v>
      </c>
      <c r="P2" s="1" t="s">
        <v>12</v>
      </c>
      <c r="Q2" s="1" t="s">
        <v>12</v>
      </c>
    </row>
    <row r="3" spans="1:17" x14ac:dyDescent="0.3">
      <c r="B3" s="1">
        <v>14</v>
      </c>
      <c r="C3" s="1">
        <v>17.25</v>
      </c>
      <c r="D3" s="1">
        <v>8.5</v>
      </c>
      <c r="E3" s="1">
        <v>13.75</v>
      </c>
      <c r="F3" s="1">
        <v>8</v>
      </c>
      <c r="G3" s="1">
        <v>10</v>
      </c>
      <c r="H3" s="1">
        <v>13.25</v>
      </c>
      <c r="I3" s="1">
        <v>15.5</v>
      </c>
      <c r="J3" s="1">
        <v>8.5</v>
      </c>
      <c r="K3" s="1">
        <v>10.75</v>
      </c>
      <c r="L3" s="1">
        <v>14</v>
      </c>
      <c r="M3" s="1">
        <v>8</v>
      </c>
      <c r="N3" s="1">
        <v>10.25</v>
      </c>
      <c r="O3" s="1">
        <v>13.5</v>
      </c>
      <c r="P3" s="1">
        <v>8</v>
      </c>
      <c r="Q3" s="1">
        <v>9</v>
      </c>
    </row>
    <row r="4" spans="1:17" x14ac:dyDescent="0.3">
      <c r="B4" s="1">
        <v>17</v>
      </c>
      <c r="C4" s="1">
        <v>19.25</v>
      </c>
      <c r="D4" s="1">
        <v>11.5</v>
      </c>
      <c r="E4" s="1">
        <v>17.75</v>
      </c>
      <c r="F4" s="1">
        <v>10</v>
      </c>
      <c r="G4" s="1">
        <v>12</v>
      </c>
      <c r="H4" s="1">
        <v>15.25</v>
      </c>
      <c r="I4" s="1">
        <v>17.5</v>
      </c>
      <c r="J4" s="1">
        <v>10.5</v>
      </c>
      <c r="K4" s="1">
        <v>12.75</v>
      </c>
      <c r="L4" s="1">
        <v>16</v>
      </c>
      <c r="M4" s="1">
        <v>10</v>
      </c>
      <c r="N4" s="1">
        <v>12.25</v>
      </c>
      <c r="O4" s="1">
        <v>15.5</v>
      </c>
      <c r="P4" s="1">
        <v>9</v>
      </c>
      <c r="Q4" s="1">
        <v>12</v>
      </c>
    </row>
    <row r="5" spans="1:17" x14ac:dyDescent="0.3">
      <c r="A5" t="s">
        <v>23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x14ac:dyDescent="0.3">
      <c r="A6" t="s">
        <v>24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3">
      <c r="A7" t="s">
        <v>25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x14ac:dyDescent="0.3">
      <c r="A8" t="s">
        <v>26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3">
      <c r="A9" t="s">
        <v>27</v>
      </c>
      <c r="B9" s="1"/>
      <c r="C9" s="1"/>
      <c r="D9" s="1" t="s">
        <v>6</v>
      </c>
      <c r="E9" s="1"/>
      <c r="F9" s="1"/>
      <c r="G9" s="1"/>
      <c r="H9" s="1"/>
      <c r="I9" s="1"/>
      <c r="J9" s="1" t="s">
        <v>6</v>
      </c>
      <c r="K9" s="1"/>
      <c r="L9" s="1"/>
      <c r="M9" s="1"/>
      <c r="N9" s="1"/>
      <c r="O9" s="1"/>
      <c r="P9" s="1" t="s">
        <v>6</v>
      </c>
      <c r="Q9" s="1" t="s">
        <v>6</v>
      </c>
    </row>
    <row r="10" spans="1:17" x14ac:dyDescent="0.3">
      <c r="A10" t="s">
        <v>28</v>
      </c>
      <c r="B10" s="1"/>
      <c r="C10" s="1"/>
      <c r="D10" s="1" t="s">
        <v>6</v>
      </c>
      <c r="E10" s="1"/>
      <c r="F10" s="1" t="s">
        <v>6</v>
      </c>
      <c r="G10" s="1" t="s">
        <v>6</v>
      </c>
      <c r="H10" s="1" t="s">
        <v>6</v>
      </c>
      <c r="I10" s="1"/>
      <c r="J10" s="1" t="s">
        <v>6</v>
      </c>
      <c r="K10" s="1"/>
      <c r="L10" s="1"/>
      <c r="M10" s="1"/>
      <c r="N10" s="1"/>
      <c r="O10" s="1"/>
      <c r="P10" s="1"/>
      <c r="Q10" s="1"/>
    </row>
    <row r="11" spans="1:17" x14ac:dyDescent="0.3">
      <c r="A11" t="s">
        <v>29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x14ac:dyDescent="0.3">
      <c r="A12" t="s">
        <v>30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3">
      <c r="A13" t="s">
        <v>31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3">
      <c r="A14" t="s">
        <v>32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3">
      <c r="A15" t="s">
        <v>33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3">
      <c r="A16" t="s">
        <v>34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3">
      <c r="A17" t="s">
        <v>35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3">
      <c r="A18" t="s">
        <v>36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3">
      <c r="A19" t="s">
        <v>37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 t="s">
        <v>7</v>
      </c>
      <c r="Q19" s="1" t="s">
        <v>7</v>
      </c>
    </row>
    <row r="20" spans="1:17" x14ac:dyDescent="0.3">
      <c r="A20" t="s">
        <v>38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3">
      <c r="A21" t="s">
        <v>39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3">
      <c r="A22" t="s">
        <v>40</v>
      </c>
      <c r="B22" s="1"/>
      <c r="C22" s="1"/>
      <c r="D22" s="1" t="s">
        <v>6</v>
      </c>
      <c r="E22" s="1"/>
      <c r="F22" s="1" t="s">
        <v>7</v>
      </c>
      <c r="G22" s="1" t="s">
        <v>7</v>
      </c>
      <c r="H22" s="1" t="s">
        <v>7</v>
      </c>
      <c r="I22" s="1"/>
      <c r="J22" s="1"/>
      <c r="K22" s="1"/>
      <c r="L22" s="1"/>
      <c r="M22" s="1" t="s">
        <v>6</v>
      </c>
      <c r="N22" s="1" t="s">
        <v>6</v>
      </c>
      <c r="O22" s="1"/>
      <c r="P22" s="1" t="s">
        <v>6</v>
      </c>
      <c r="Q22" s="1"/>
    </row>
    <row r="23" spans="1:17" x14ac:dyDescent="0.3">
      <c r="A23" t="s">
        <v>41</v>
      </c>
      <c r="B23" s="1"/>
      <c r="C23" s="1"/>
      <c r="D23" s="1"/>
      <c r="E23" s="1"/>
      <c r="F23" s="1"/>
      <c r="G23" s="1"/>
      <c r="H23" s="1"/>
      <c r="I23" s="1"/>
      <c r="J23" s="1" t="s">
        <v>6</v>
      </c>
      <c r="K23" s="1"/>
      <c r="L23" s="1"/>
      <c r="M23" s="1" t="s">
        <v>6</v>
      </c>
      <c r="N23" s="1" t="s">
        <v>6</v>
      </c>
      <c r="O23" s="1"/>
      <c r="P23" s="1"/>
      <c r="Q23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5"/>
  <dimension ref="A1:N23"/>
  <sheetViews>
    <sheetView workbookViewId="0">
      <selection activeCell="F25" sqref="F25"/>
    </sheetView>
  </sheetViews>
  <sheetFormatPr baseColWidth="10" defaultRowHeight="14.4" x14ac:dyDescent="0.3"/>
  <cols>
    <col min="1" max="1" width="12.6640625" bestFit="1" customWidth="1"/>
    <col min="2" max="2" width="5.88671875" bestFit="1" customWidth="1"/>
    <col min="3" max="3" width="6" bestFit="1" customWidth="1"/>
    <col min="4" max="4" width="9" bestFit="1" customWidth="1"/>
    <col min="5" max="5" width="8.6640625" bestFit="1" customWidth="1"/>
    <col min="6" max="6" width="6" bestFit="1" customWidth="1"/>
    <col min="7" max="7" width="7.33203125" bestFit="1" customWidth="1"/>
    <col min="8" max="8" width="4.6640625" bestFit="1" customWidth="1"/>
    <col min="9" max="9" width="5" bestFit="1" customWidth="1"/>
    <col min="10" max="10" width="6" bestFit="1" customWidth="1"/>
    <col min="11" max="11" width="9.33203125" bestFit="1" customWidth="1"/>
    <col min="12" max="13" width="6" bestFit="1" customWidth="1"/>
    <col min="14" max="14" width="7.5546875" bestFit="1" customWidth="1"/>
  </cols>
  <sheetData>
    <row r="1" spans="1:14" x14ac:dyDescent="0.3">
      <c r="A1">
        <v>50</v>
      </c>
      <c r="B1" t="s">
        <v>21</v>
      </c>
      <c r="D1" t="s">
        <v>18</v>
      </c>
      <c r="G1" t="s">
        <v>19</v>
      </c>
      <c r="K1" t="s">
        <v>20</v>
      </c>
      <c r="N1" t="s">
        <v>17</v>
      </c>
    </row>
    <row r="2" spans="1:14" x14ac:dyDescent="0.3">
      <c r="B2" s="1" t="s">
        <v>10</v>
      </c>
      <c r="C2" s="1" t="s">
        <v>12</v>
      </c>
      <c r="D2" s="1" t="s">
        <v>14</v>
      </c>
      <c r="E2" s="1" t="s">
        <v>8</v>
      </c>
      <c r="F2" s="1" t="s">
        <v>11</v>
      </c>
      <c r="G2" s="1" t="s">
        <v>4</v>
      </c>
      <c r="H2" s="1" t="s">
        <v>11</v>
      </c>
      <c r="I2" s="1" t="s">
        <v>10</v>
      </c>
      <c r="J2" s="1" t="s">
        <v>11</v>
      </c>
      <c r="K2" s="1" t="s">
        <v>8</v>
      </c>
      <c r="L2" s="1" t="s">
        <v>13</v>
      </c>
      <c r="M2" s="1" t="s">
        <v>13</v>
      </c>
      <c r="N2" s="1" t="s">
        <v>12</v>
      </c>
    </row>
    <row r="3" spans="1:14" x14ac:dyDescent="0.3">
      <c r="B3" s="1">
        <v>14</v>
      </c>
      <c r="C3" s="1">
        <v>17.25</v>
      </c>
      <c r="D3" s="1">
        <v>8.5</v>
      </c>
      <c r="E3" s="1">
        <v>13</v>
      </c>
      <c r="F3" s="1">
        <v>15.25</v>
      </c>
      <c r="G3" s="1">
        <v>8</v>
      </c>
      <c r="H3" s="1">
        <v>10</v>
      </c>
      <c r="I3" s="1">
        <v>13.5</v>
      </c>
      <c r="J3" s="1">
        <v>16.75</v>
      </c>
      <c r="K3" s="1">
        <v>8</v>
      </c>
      <c r="L3" s="1">
        <v>10.25</v>
      </c>
      <c r="M3" s="1">
        <v>13.75</v>
      </c>
      <c r="N3" s="1">
        <v>8</v>
      </c>
    </row>
    <row r="4" spans="1:14" x14ac:dyDescent="0.3">
      <c r="B4" s="1">
        <v>17</v>
      </c>
      <c r="C4" s="1">
        <v>19.25</v>
      </c>
      <c r="D4" s="1">
        <v>11.5</v>
      </c>
      <c r="E4" s="1">
        <v>15</v>
      </c>
      <c r="F4" s="1">
        <v>17.25</v>
      </c>
      <c r="G4" s="1">
        <v>10</v>
      </c>
      <c r="H4" s="1">
        <v>12</v>
      </c>
      <c r="I4" s="1">
        <v>16.5</v>
      </c>
      <c r="J4" s="1">
        <v>18.75</v>
      </c>
      <c r="K4" s="1">
        <v>10</v>
      </c>
      <c r="L4" s="1">
        <v>12.25</v>
      </c>
      <c r="M4" s="1">
        <v>17.75</v>
      </c>
      <c r="N4" s="1">
        <v>12</v>
      </c>
    </row>
    <row r="5" spans="1:14" x14ac:dyDescent="0.3">
      <c r="A5" t="s">
        <v>23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3">
      <c r="A6" t="s">
        <v>24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3">
      <c r="A7" t="s">
        <v>25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3">
      <c r="A8" t="s">
        <v>26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3">
      <c r="A9" t="s">
        <v>27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3">
      <c r="A10" t="s">
        <v>28</v>
      </c>
      <c r="B10" s="1" t="s">
        <v>6</v>
      </c>
      <c r="C10" s="1" t="s">
        <v>6</v>
      </c>
      <c r="D10" s="1"/>
      <c r="E10" s="1"/>
      <c r="F10" s="1"/>
      <c r="G10" s="1"/>
      <c r="H10" s="1" t="s">
        <v>6</v>
      </c>
      <c r="I10" s="1"/>
      <c r="J10" s="1"/>
      <c r="K10" s="1" t="s">
        <v>6</v>
      </c>
      <c r="L10" s="1" t="s">
        <v>6</v>
      </c>
      <c r="M10" s="1"/>
      <c r="N10" s="1"/>
    </row>
    <row r="11" spans="1:14" x14ac:dyDescent="0.3">
      <c r="A11" t="s">
        <v>29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3">
      <c r="A12" t="s">
        <v>30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3">
      <c r="A13" t="s">
        <v>31</v>
      </c>
      <c r="B13" s="1"/>
      <c r="C13" s="1"/>
      <c r="D13" s="1" t="s">
        <v>6</v>
      </c>
      <c r="E13" s="1"/>
      <c r="F13" s="1"/>
      <c r="G13" s="1"/>
      <c r="H13" s="1"/>
      <c r="I13" s="1" t="s">
        <v>6</v>
      </c>
      <c r="J13" s="1" t="s">
        <v>6</v>
      </c>
      <c r="K13" s="1" t="s">
        <v>6</v>
      </c>
      <c r="L13" s="1"/>
      <c r="M13" s="1" t="s">
        <v>6</v>
      </c>
      <c r="N13" s="1" t="s">
        <v>6</v>
      </c>
    </row>
    <row r="14" spans="1:14" x14ac:dyDescent="0.3">
      <c r="A14" t="s">
        <v>32</v>
      </c>
      <c r="B14" s="1"/>
      <c r="C14" s="1"/>
      <c r="D14" s="1"/>
      <c r="E14" s="1"/>
      <c r="F14" s="1"/>
      <c r="G14" s="1"/>
      <c r="H14" s="1"/>
      <c r="I14" s="1"/>
      <c r="J14" s="1"/>
      <c r="K14" s="1" t="s">
        <v>7</v>
      </c>
      <c r="L14" s="1" t="s">
        <v>7</v>
      </c>
      <c r="M14" s="1" t="s">
        <v>7</v>
      </c>
      <c r="N14" s="1"/>
    </row>
    <row r="15" spans="1:14" x14ac:dyDescent="0.3">
      <c r="A15" t="s">
        <v>33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3">
      <c r="A16" t="s">
        <v>34</v>
      </c>
      <c r="B16" s="1"/>
      <c r="C16" s="1"/>
      <c r="D16" s="1"/>
      <c r="E16" s="1"/>
      <c r="F16" s="1"/>
      <c r="G16" s="1"/>
      <c r="H16" s="1"/>
      <c r="I16" s="1"/>
      <c r="J16" s="1"/>
      <c r="K16" s="1" t="s">
        <v>6</v>
      </c>
      <c r="L16" s="1"/>
      <c r="M16" s="1"/>
      <c r="N16" s="1"/>
    </row>
    <row r="17" spans="1:14" x14ac:dyDescent="0.3">
      <c r="A17" t="s">
        <v>35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3">
      <c r="A18" t="s">
        <v>36</v>
      </c>
      <c r="B18" s="1"/>
      <c r="C18" s="1"/>
      <c r="D18" s="1"/>
      <c r="E18" s="1"/>
      <c r="F18" s="1"/>
      <c r="G18" s="1"/>
      <c r="H18" s="1"/>
      <c r="I18" s="1"/>
      <c r="J18" s="1"/>
      <c r="K18" s="1" t="s">
        <v>7</v>
      </c>
      <c r="L18" s="1" t="s">
        <v>7</v>
      </c>
      <c r="M18" s="1" t="s">
        <v>7</v>
      </c>
      <c r="N18" s="1"/>
    </row>
    <row r="19" spans="1:14" x14ac:dyDescent="0.3">
      <c r="A19" t="s">
        <v>37</v>
      </c>
      <c r="B19" s="1" t="s">
        <v>7</v>
      </c>
      <c r="C19" s="1" t="s">
        <v>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 t="s">
        <v>7</v>
      </c>
    </row>
    <row r="20" spans="1:14" x14ac:dyDescent="0.3">
      <c r="A20" t="s">
        <v>38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3">
      <c r="A21" t="s">
        <v>39</v>
      </c>
      <c r="B21" s="1"/>
      <c r="C21" s="1"/>
      <c r="D21" s="1" t="s">
        <v>6</v>
      </c>
      <c r="E21" s="1"/>
      <c r="F21" s="1"/>
      <c r="G21" s="1"/>
      <c r="H21" s="1"/>
      <c r="I21" s="1"/>
      <c r="J21" s="1"/>
      <c r="K21" s="1" t="s">
        <v>6</v>
      </c>
      <c r="L21" s="1" t="s">
        <v>6</v>
      </c>
      <c r="M21" s="1" t="s">
        <v>6</v>
      </c>
      <c r="N21" s="1"/>
    </row>
    <row r="22" spans="1:14" x14ac:dyDescent="0.3">
      <c r="A22" t="s">
        <v>40</v>
      </c>
      <c r="B22" s="1"/>
      <c r="C22" s="1"/>
      <c r="D22" s="1"/>
      <c r="E22" s="1"/>
      <c r="F22" s="1"/>
      <c r="G22" s="1"/>
      <c r="H22" s="1"/>
      <c r="I22" s="1"/>
      <c r="J22" s="1"/>
      <c r="K22" s="1" t="s">
        <v>6</v>
      </c>
      <c r="L22" s="1" t="s">
        <v>6</v>
      </c>
      <c r="M22" s="1"/>
      <c r="N22" s="1" t="s">
        <v>6</v>
      </c>
    </row>
    <row r="23" spans="1:14" x14ac:dyDescent="0.3">
      <c r="A23" t="s">
        <v>41</v>
      </c>
      <c r="B23" s="1"/>
      <c r="C23" s="1"/>
      <c r="D23" s="1" t="s">
        <v>6</v>
      </c>
      <c r="E23" s="1"/>
      <c r="F23" s="1"/>
      <c r="G23" s="1"/>
      <c r="H23" s="1"/>
      <c r="I23" s="1"/>
      <c r="J23" s="1"/>
      <c r="K23" s="1" t="s">
        <v>6</v>
      </c>
      <c r="L23" s="1"/>
      <c r="M23" s="1" t="s">
        <v>6</v>
      </c>
      <c r="N23" s="1" t="s">
        <v>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6"/>
  <dimension ref="A1:N23"/>
  <sheetViews>
    <sheetView workbookViewId="0">
      <selection activeCell="F25" sqref="F25"/>
    </sheetView>
  </sheetViews>
  <sheetFormatPr baseColWidth="10" defaultRowHeight="14.4" x14ac:dyDescent="0.3"/>
  <cols>
    <col min="1" max="1" width="12.6640625" bestFit="1" customWidth="1"/>
    <col min="2" max="2" width="9.6640625" bestFit="1" customWidth="1"/>
    <col min="3" max="3" width="4.6640625" bestFit="1" customWidth="1"/>
    <col min="4" max="4" width="7.33203125" bestFit="1" customWidth="1"/>
    <col min="5" max="5" width="9" bestFit="1" customWidth="1"/>
    <col min="6" max="6" width="6.44140625" bestFit="1" customWidth="1"/>
    <col min="7" max="7" width="8.6640625" bestFit="1" customWidth="1"/>
    <col min="8" max="8" width="6" bestFit="1" customWidth="1"/>
    <col min="9" max="9" width="5.6640625" bestFit="1" customWidth="1"/>
    <col min="10" max="10" width="5" bestFit="1" customWidth="1"/>
    <col min="11" max="11" width="9.33203125" bestFit="1" customWidth="1"/>
    <col min="12" max="12" width="6" bestFit="1" customWidth="1"/>
    <col min="13" max="13" width="3.109375" bestFit="1" customWidth="1"/>
    <col min="14" max="14" width="7.5546875" bestFit="1" customWidth="1"/>
  </cols>
  <sheetData>
    <row r="1" spans="1:14" x14ac:dyDescent="0.3">
      <c r="A1">
        <v>1</v>
      </c>
      <c r="B1" t="s">
        <v>22</v>
      </c>
      <c r="E1" t="s">
        <v>18</v>
      </c>
      <c r="I1" t="s">
        <v>19</v>
      </c>
      <c r="K1" t="s">
        <v>20</v>
      </c>
      <c r="N1" t="s">
        <v>17</v>
      </c>
    </row>
    <row r="2" spans="1:14" x14ac:dyDescent="0.3">
      <c r="B2" s="1" t="s">
        <v>5</v>
      </c>
      <c r="C2" s="1" t="s">
        <v>11</v>
      </c>
      <c r="D2" s="1" t="s">
        <v>4</v>
      </c>
      <c r="E2" s="1" t="s">
        <v>14</v>
      </c>
      <c r="F2" s="1" t="s">
        <v>14</v>
      </c>
      <c r="G2" s="1" t="s">
        <v>8</v>
      </c>
      <c r="H2" s="1" t="s">
        <v>11</v>
      </c>
      <c r="I2" s="1" t="s">
        <v>10</v>
      </c>
      <c r="J2" s="1" t="s">
        <v>12</v>
      </c>
      <c r="K2" s="1" t="s">
        <v>8</v>
      </c>
      <c r="L2" s="1" t="s">
        <v>13</v>
      </c>
      <c r="M2" s="1" t="s">
        <v>12</v>
      </c>
      <c r="N2" s="1" t="s">
        <v>13</v>
      </c>
    </row>
    <row r="3" spans="1:14" x14ac:dyDescent="0.3">
      <c r="B3" s="1">
        <v>8</v>
      </c>
      <c r="C3" s="1">
        <v>14</v>
      </c>
      <c r="D3" s="1">
        <v>17.25</v>
      </c>
      <c r="E3" s="1">
        <v>8.5</v>
      </c>
      <c r="F3" s="1">
        <v>10.5</v>
      </c>
      <c r="G3" s="1">
        <v>13</v>
      </c>
      <c r="H3" s="1">
        <v>15.25</v>
      </c>
      <c r="I3" s="1">
        <v>8.5</v>
      </c>
      <c r="J3" s="1">
        <v>13.5</v>
      </c>
      <c r="K3" s="1">
        <v>8</v>
      </c>
      <c r="L3" s="1">
        <v>13.75</v>
      </c>
      <c r="M3" s="1">
        <v>17</v>
      </c>
      <c r="N3" s="1">
        <v>8</v>
      </c>
    </row>
    <row r="4" spans="1:14" x14ac:dyDescent="0.3">
      <c r="B4" s="1">
        <v>10</v>
      </c>
      <c r="C4" s="1">
        <v>17</v>
      </c>
      <c r="D4" s="1">
        <v>19.25</v>
      </c>
      <c r="E4" s="1">
        <v>10.5</v>
      </c>
      <c r="F4" s="1">
        <v>11.5</v>
      </c>
      <c r="G4" s="1">
        <v>15</v>
      </c>
      <c r="H4" s="1">
        <v>17.25</v>
      </c>
      <c r="I4" s="1">
        <v>11.5</v>
      </c>
      <c r="J4" s="1">
        <v>16.5</v>
      </c>
      <c r="K4" s="1">
        <v>10</v>
      </c>
      <c r="L4" s="1">
        <v>15.25</v>
      </c>
      <c r="M4" s="1">
        <v>19</v>
      </c>
      <c r="N4" s="1">
        <v>12</v>
      </c>
    </row>
    <row r="5" spans="1:14" x14ac:dyDescent="0.3">
      <c r="A5" t="s">
        <v>23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3">
      <c r="A6" t="s">
        <v>24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 t="s">
        <v>6</v>
      </c>
    </row>
    <row r="7" spans="1:14" x14ac:dyDescent="0.3">
      <c r="A7" t="s">
        <v>25</v>
      </c>
      <c r="B7" s="1" t="s">
        <v>9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3">
      <c r="A8" t="s">
        <v>26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3">
      <c r="A9" t="s">
        <v>27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3">
      <c r="A10" t="s">
        <v>28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 t="s">
        <v>6</v>
      </c>
    </row>
    <row r="11" spans="1:14" x14ac:dyDescent="0.3">
      <c r="A11" t="s">
        <v>29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 t="s">
        <v>6</v>
      </c>
    </row>
    <row r="12" spans="1:14" x14ac:dyDescent="0.3">
      <c r="A12" t="s">
        <v>30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3">
      <c r="A13" t="s">
        <v>31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3">
      <c r="A14" t="s">
        <v>32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3">
      <c r="A15" t="s">
        <v>33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3">
      <c r="A16" t="s">
        <v>34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3">
      <c r="A17" t="s">
        <v>35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3">
      <c r="A18" t="s">
        <v>36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3">
      <c r="A19" t="s">
        <v>37</v>
      </c>
      <c r="B19" s="1" t="s">
        <v>7</v>
      </c>
      <c r="C19" s="1" t="s">
        <v>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3">
      <c r="A20" t="s">
        <v>38</v>
      </c>
      <c r="B20" s="1" t="s">
        <v>6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3">
      <c r="A21" t="s">
        <v>39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3">
      <c r="A22" t="s">
        <v>40</v>
      </c>
      <c r="B22" s="1" t="s">
        <v>6</v>
      </c>
      <c r="C22" s="1"/>
      <c r="D22" s="1"/>
      <c r="E22" s="1" t="s">
        <v>6</v>
      </c>
      <c r="F22" s="1" t="s">
        <v>6</v>
      </c>
      <c r="G22" s="1"/>
      <c r="H22" s="1"/>
      <c r="I22" s="1"/>
      <c r="J22" s="1"/>
      <c r="K22" s="1"/>
      <c r="L22" s="1"/>
      <c r="M22" s="1"/>
      <c r="N22" s="1"/>
    </row>
    <row r="23" spans="1:14" x14ac:dyDescent="0.3">
      <c r="A23" t="s">
        <v>41</v>
      </c>
      <c r="B23" s="1" t="s">
        <v>6</v>
      </c>
      <c r="C23" s="1"/>
      <c r="D23" s="1"/>
      <c r="E23" s="1" t="s">
        <v>6</v>
      </c>
      <c r="F23" s="1"/>
      <c r="G23" s="1"/>
      <c r="H23" s="1"/>
      <c r="I23" s="1" t="s">
        <v>6</v>
      </c>
      <c r="J23" s="1"/>
      <c r="K23" s="1"/>
      <c r="L23" s="1"/>
      <c r="M23" s="1"/>
      <c r="N23" s="1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7"/>
  <dimension ref="A1:R23"/>
  <sheetViews>
    <sheetView workbookViewId="0">
      <selection activeCell="F25" sqref="F25"/>
    </sheetView>
  </sheetViews>
  <sheetFormatPr baseColWidth="10" defaultRowHeight="14.4" x14ac:dyDescent="0.3"/>
  <cols>
    <col min="1" max="1" width="12.6640625" bestFit="1" customWidth="1"/>
    <col min="2" max="2" width="5.88671875" bestFit="1" customWidth="1"/>
    <col min="3" max="3" width="4.6640625" bestFit="1" customWidth="1"/>
    <col min="4" max="4" width="9.6640625" bestFit="1" customWidth="1"/>
    <col min="5" max="5" width="6" bestFit="1" customWidth="1"/>
    <col min="6" max="6" width="5" bestFit="1" customWidth="1"/>
    <col min="7" max="7" width="7.33203125" bestFit="1" customWidth="1"/>
    <col min="8" max="8" width="9" bestFit="1" customWidth="1"/>
    <col min="9" max="9" width="8.6640625" bestFit="1" customWidth="1"/>
    <col min="10" max="10" width="5" bestFit="1" customWidth="1"/>
    <col min="11" max="11" width="5.6640625" bestFit="1" customWidth="1"/>
    <col min="12" max="12" width="5" bestFit="1" customWidth="1"/>
    <col min="13" max="13" width="3.109375" bestFit="1" customWidth="1"/>
    <col min="14" max="14" width="5" bestFit="1" customWidth="1"/>
    <col min="15" max="15" width="9.33203125" bestFit="1" customWidth="1"/>
    <col min="16" max="16" width="6" bestFit="1" customWidth="1"/>
    <col min="17" max="17" width="7.5546875" bestFit="1" customWidth="1"/>
    <col min="18" max="18" width="6" bestFit="1" customWidth="1"/>
  </cols>
  <sheetData>
    <row r="1" spans="1:18" x14ac:dyDescent="0.3">
      <c r="A1">
        <v>2</v>
      </c>
      <c r="B1" t="s">
        <v>21</v>
      </c>
      <c r="D1" t="s">
        <v>22</v>
      </c>
      <c r="H1" t="s">
        <v>18</v>
      </c>
      <c r="K1" t="s">
        <v>19</v>
      </c>
      <c r="O1" t="s">
        <v>20</v>
      </c>
      <c r="Q1" t="s">
        <v>17</v>
      </c>
    </row>
    <row r="2" spans="1:18" x14ac:dyDescent="0.3">
      <c r="B2" s="1" t="s">
        <v>13</v>
      </c>
      <c r="C2" s="1" t="s">
        <v>11</v>
      </c>
      <c r="D2" s="1" t="s">
        <v>5</v>
      </c>
      <c r="E2" s="1" t="s">
        <v>11</v>
      </c>
      <c r="F2" s="1" t="s">
        <v>12</v>
      </c>
      <c r="G2" s="1" t="s">
        <v>4</v>
      </c>
      <c r="H2" s="1" t="s">
        <v>13</v>
      </c>
      <c r="I2" s="1" t="s">
        <v>8</v>
      </c>
      <c r="J2" s="1" t="s">
        <v>13</v>
      </c>
      <c r="K2" s="1" t="s">
        <v>10</v>
      </c>
      <c r="L2" s="1" t="s">
        <v>10</v>
      </c>
      <c r="M2" s="1" t="s">
        <v>12</v>
      </c>
      <c r="N2" s="1" t="s">
        <v>13</v>
      </c>
      <c r="O2" s="1" t="s">
        <v>8</v>
      </c>
      <c r="P2" s="1" t="s">
        <v>13</v>
      </c>
      <c r="Q2" s="1" t="s">
        <v>10</v>
      </c>
      <c r="R2" s="1" t="s">
        <v>10</v>
      </c>
    </row>
    <row r="3" spans="1:18" x14ac:dyDescent="0.3">
      <c r="B3" s="1">
        <v>10</v>
      </c>
      <c r="C3" s="1">
        <v>14</v>
      </c>
      <c r="D3" s="1">
        <v>8</v>
      </c>
      <c r="E3" s="1">
        <v>10.25</v>
      </c>
      <c r="F3" s="1">
        <v>13.5</v>
      </c>
      <c r="G3" s="1">
        <v>16.75</v>
      </c>
      <c r="H3" s="1">
        <v>10.5</v>
      </c>
      <c r="I3" s="1">
        <v>15.25</v>
      </c>
      <c r="J3" s="1">
        <v>17.5</v>
      </c>
      <c r="K3" s="1">
        <v>9</v>
      </c>
      <c r="L3" s="1">
        <v>10.5</v>
      </c>
      <c r="M3" s="1">
        <v>14</v>
      </c>
      <c r="N3" s="1">
        <v>17.5</v>
      </c>
      <c r="O3" s="1">
        <v>8</v>
      </c>
      <c r="P3" s="1">
        <v>10.25</v>
      </c>
      <c r="Q3" s="1">
        <v>8.25</v>
      </c>
      <c r="R3" s="1">
        <v>10.75</v>
      </c>
    </row>
    <row r="4" spans="1:18" x14ac:dyDescent="0.3">
      <c r="B4" s="1">
        <v>12</v>
      </c>
      <c r="C4" s="1">
        <v>17</v>
      </c>
      <c r="D4" s="1">
        <v>10</v>
      </c>
      <c r="E4" s="1">
        <v>12.25</v>
      </c>
      <c r="F4" s="1">
        <v>16.5</v>
      </c>
      <c r="G4" s="1">
        <v>18.75</v>
      </c>
      <c r="H4" s="1">
        <v>12.5</v>
      </c>
      <c r="I4" s="1">
        <v>17.25</v>
      </c>
      <c r="J4" s="1">
        <v>19.5</v>
      </c>
      <c r="K4" s="1">
        <v>10.5</v>
      </c>
      <c r="L4" s="1">
        <v>12</v>
      </c>
      <c r="M4" s="1">
        <v>17</v>
      </c>
      <c r="N4" s="1">
        <v>19.5</v>
      </c>
      <c r="O4" s="1">
        <v>10</v>
      </c>
      <c r="P4" s="1">
        <v>12.25</v>
      </c>
      <c r="Q4" s="1">
        <v>10.75</v>
      </c>
      <c r="R4" s="1">
        <v>11.75</v>
      </c>
    </row>
    <row r="5" spans="1:18" x14ac:dyDescent="0.3">
      <c r="A5" t="s">
        <v>23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x14ac:dyDescent="0.3">
      <c r="A6" t="s">
        <v>24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3">
      <c r="A7" t="s">
        <v>25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3">
      <c r="A8" t="s">
        <v>26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3">
      <c r="A9" t="s">
        <v>27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3">
      <c r="A10" t="s">
        <v>28</v>
      </c>
      <c r="B10" s="1"/>
      <c r="C10" s="1"/>
      <c r="D10" s="1" t="s">
        <v>6</v>
      </c>
      <c r="E10" s="1" t="s">
        <v>6</v>
      </c>
      <c r="F10" s="1"/>
      <c r="G10" s="1"/>
      <c r="H10" s="1"/>
      <c r="I10" s="1"/>
      <c r="J10" s="1" t="s">
        <v>6</v>
      </c>
      <c r="K10" s="1" t="s">
        <v>6</v>
      </c>
      <c r="L10" s="1" t="s">
        <v>6</v>
      </c>
      <c r="M10" s="1"/>
      <c r="N10" s="1"/>
      <c r="O10" s="1"/>
      <c r="P10" s="1"/>
      <c r="Q10" s="1" t="s">
        <v>6</v>
      </c>
      <c r="R10" s="1" t="s">
        <v>6</v>
      </c>
    </row>
    <row r="11" spans="1:18" x14ac:dyDescent="0.3">
      <c r="A11" t="s">
        <v>29</v>
      </c>
      <c r="B11" s="1"/>
      <c r="C11" s="1"/>
      <c r="D11" s="1" t="s">
        <v>6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3">
      <c r="A12" t="s">
        <v>30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3">
      <c r="A13" t="s">
        <v>31</v>
      </c>
      <c r="B13" s="1"/>
      <c r="C13" s="1"/>
      <c r="D13" s="1" t="s">
        <v>6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3">
      <c r="A14" t="s">
        <v>32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3">
      <c r="A15" t="s">
        <v>33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3">
      <c r="A16" t="s">
        <v>34</v>
      </c>
      <c r="B16" s="1"/>
      <c r="C16" s="1"/>
      <c r="D16" s="1" t="s">
        <v>9</v>
      </c>
      <c r="E16" s="1" t="s">
        <v>9</v>
      </c>
      <c r="F16" s="1"/>
      <c r="G16" s="1"/>
      <c r="H16" s="1" t="s">
        <v>9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3">
      <c r="A17" t="s">
        <v>35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x14ac:dyDescent="0.3">
      <c r="A18" t="s">
        <v>36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x14ac:dyDescent="0.3">
      <c r="A19" t="s">
        <v>37</v>
      </c>
      <c r="B19" s="1"/>
      <c r="C19" s="1"/>
      <c r="D19" s="1"/>
      <c r="E19" s="1"/>
      <c r="F19" s="1"/>
      <c r="G19" s="1"/>
      <c r="H19" s="1" t="s">
        <v>7</v>
      </c>
      <c r="I19" s="1"/>
      <c r="J19" s="1" t="s">
        <v>7</v>
      </c>
      <c r="K19" s="1" t="s">
        <v>7</v>
      </c>
      <c r="L19" s="1" t="s">
        <v>7</v>
      </c>
      <c r="M19" s="1" t="s">
        <v>7</v>
      </c>
      <c r="N19" s="1" t="s">
        <v>7</v>
      </c>
      <c r="O19" s="1"/>
      <c r="P19" s="1" t="s">
        <v>7</v>
      </c>
      <c r="Q19" s="1" t="s">
        <v>7</v>
      </c>
      <c r="R19" s="1" t="s">
        <v>7</v>
      </c>
    </row>
    <row r="20" spans="1:18" x14ac:dyDescent="0.3">
      <c r="A20" t="s">
        <v>38</v>
      </c>
      <c r="B20" s="1"/>
      <c r="C20" s="1"/>
      <c r="D20" s="1"/>
      <c r="E20" s="1"/>
      <c r="F20" s="1"/>
      <c r="G20" s="1"/>
      <c r="H20" s="1"/>
      <c r="I20" s="1"/>
      <c r="J20" s="1" t="s">
        <v>7</v>
      </c>
      <c r="K20" s="1"/>
      <c r="L20" s="1"/>
      <c r="M20" s="1"/>
      <c r="N20" s="1"/>
      <c r="O20" s="1"/>
      <c r="P20" s="1"/>
      <c r="Q20" s="1"/>
      <c r="R20" s="1"/>
    </row>
    <row r="21" spans="1:18" x14ac:dyDescent="0.3">
      <c r="A21" t="s">
        <v>39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6</v>
      </c>
      <c r="R21" s="1" t="s">
        <v>6</v>
      </c>
    </row>
    <row r="22" spans="1:18" x14ac:dyDescent="0.3">
      <c r="A22" t="s">
        <v>40</v>
      </c>
      <c r="B22" s="1"/>
      <c r="C22" s="1"/>
      <c r="D22" s="1"/>
      <c r="E22" s="1"/>
      <c r="F22" s="1"/>
      <c r="G22" s="1"/>
      <c r="H22" s="1" t="s">
        <v>6</v>
      </c>
      <c r="I22" s="1"/>
      <c r="J22" s="1"/>
      <c r="K22" s="1"/>
      <c r="L22" s="1"/>
      <c r="M22" s="1"/>
      <c r="N22" s="1"/>
      <c r="O22" s="1"/>
      <c r="P22" s="1"/>
      <c r="Q22" s="1" t="s">
        <v>6</v>
      </c>
      <c r="R22" s="1" t="s">
        <v>6</v>
      </c>
    </row>
    <row r="23" spans="1:18" x14ac:dyDescent="0.3">
      <c r="A23" t="s">
        <v>41</v>
      </c>
      <c r="B23" s="1"/>
      <c r="C23" s="1"/>
      <c r="D23" s="1" t="s">
        <v>6</v>
      </c>
      <c r="E23" s="1"/>
      <c r="F23" s="1"/>
      <c r="G23" s="1"/>
      <c r="H23" s="1"/>
      <c r="I23" s="1"/>
      <c r="J23" s="1"/>
      <c r="K23" s="1" t="s">
        <v>6</v>
      </c>
      <c r="L23" s="1" t="s">
        <v>6</v>
      </c>
      <c r="M23" s="1"/>
      <c r="N23" s="1"/>
      <c r="O23" s="1"/>
      <c r="P23" s="1"/>
      <c r="Q23" s="1" t="s">
        <v>6</v>
      </c>
      <c r="R23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8"/>
  <dimension ref="A1:R23"/>
  <sheetViews>
    <sheetView workbookViewId="0">
      <selection activeCell="F25" sqref="F25"/>
    </sheetView>
  </sheetViews>
  <sheetFormatPr baseColWidth="10" defaultRowHeight="14.4" x14ac:dyDescent="0.3"/>
  <cols>
    <col min="1" max="1" width="12.6640625" bestFit="1" customWidth="1"/>
    <col min="2" max="2" width="5.88671875" bestFit="1" customWidth="1"/>
    <col min="3" max="3" width="4.44140625" bestFit="1" customWidth="1"/>
    <col min="4" max="4" width="5" bestFit="1" customWidth="1"/>
    <col min="5" max="5" width="6.109375" bestFit="1" customWidth="1"/>
    <col min="6" max="6" width="5" bestFit="1" customWidth="1"/>
    <col min="7" max="7" width="7.33203125" bestFit="1" customWidth="1"/>
    <col min="8" max="8" width="9" bestFit="1" customWidth="1"/>
    <col min="9" max="9" width="4.6640625" bestFit="1" customWidth="1"/>
    <col min="10" max="10" width="5" bestFit="1" customWidth="1"/>
    <col min="11" max="11" width="5.6640625" bestFit="1" customWidth="1"/>
    <col min="12" max="12" width="5" bestFit="1" customWidth="1"/>
    <col min="13" max="13" width="3.109375" bestFit="1" customWidth="1"/>
    <col min="14" max="14" width="5" bestFit="1" customWidth="1"/>
    <col min="15" max="15" width="9.33203125" bestFit="1" customWidth="1"/>
    <col min="16" max="16" width="5" bestFit="1" customWidth="1"/>
    <col min="17" max="17" width="7.5546875" bestFit="1" customWidth="1"/>
    <col min="18" max="18" width="3.44140625" bestFit="1" customWidth="1"/>
  </cols>
  <sheetData>
    <row r="1" spans="1:18" x14ac:dyDescent="0.3">
      <c r="A1">
        <v>5</v>
      </c>
      <c r="B1" t="s">
        <v>21</v>
      </c>
      <c r="E1" t="s">
        <v>22</v>
      </c>
      <c r="H1" t="s">
        <v>18</v>
      </c>
      <c r="K1" t="s">
        <v>19</v>
      </c>
      <c r="O1" t="s">
        <v>20</v>
      </c>
      <c r="Q1" t="s">
        <v>17</v>
      </c>
    </row>
    <row r="2" spans="1:18" x14ac:dyDescent="0.3">
      <c r="B2" s="1" t="s">
        <v>13</v>
      </c>
      <c r="C2" s="1" t="s">
        <v>13</v>
      </c>
      <c r="D2" s="1" t="s">
        <v>12</v>
      </c>
      <c r="E2" s="1" t="s">
        <v>11</v>
      </c>
      <c r="F2" s="1" t="s">
        <v>12</v>
      </c>
      <c r="G2" s="1" t="s">
        <v>4</v>
      </c>
      <c r="H2" s="1" t="s">
        <v>14</v>
      </c>
      <c r="I2" s="1" t="s">
        <v>11</v>
      </c>
      <c r="J2" s="1" t="s">
        <v>13</v>
      </c>
      <c r="K2" s="1" t="s">
        <v>10</v>
      </c>
      <c r="L2" s="1" t="s">
        <v>10</v>
      </c>
      <c r="M2" s="1" t="s">
        <v>12</v>
      </c>
      <c r="N2" s="1" t="s">
        <v>13</v>
      </c>
      <c r="O2" s="1" t="s">
        <v>8</v>
      </c>
      <c r="P2" s="1" t="s">
        <v>11</v>
      </c>
      <c r="Q2" s="1" t="s">
        <v>10</v>
      </c>
      <c r="R2" s="1" t="s">
        <v>10</v>
      </c>
    </row>
    <row r="3" spans="1:18" x14ac:dyDescent="0.3">
      <c r="B3" s="1">
        <v>8</v>
      </c>
      <c r="C3" s="1">
        <v>10</v>
      </c>
      <c r="D3" s="1">
        <v>13.5</v>
      </c>
      <c r="E3" s="1">
        <v>10.25</v>
      </c>
      <c r="F3" s="1">
        <v>13.5</v>
      </c>
      <c r="G3" s="1">
        <v>17</v>
      </c>
      <c r="H3" s="1">
        <v>8.5</v>
      </c>
      <c r="I3" s="1">
        <v>14</v>
      </c>
      <c r="J3" s="1">
        <v>17.5</v>
      </c>
      <c r="K3" s="1">
        <v>9</v>
      </c>
      <c r="L3" s="1">
        <v>10.5</v>
      </c>
      <c r="M3" s="1">
        <v>14</v>
      </c>
      <c r="N3" s="1">
        <v>17.5</v>
      </c>
      <c r="O3" s="1">
        <v>8</v>
      </c>
      <c r="P3" s="1">
        <v>13.5</v>
      </c>
      <c r="Q3" s="1">
        <v>8</v>
      </c>
      <c r="R3" s="1">
        <v>9</v>
      </c>
    </row>
    <row r="4" spans="1:18" x14ac:dyDescent="0.3">
      <c r="B4" s="1">
        <v>10</v>
      </c>
      <c r="C4" s="1">
        <v>12</v>
      </c>
      <c r="D4" s="1">
        <v>16.5</v>
      </c>
      <c r="E4" s="1">
        <v>12.25</v>
      </c>
      <c r="F4" s="1">
        <v>16.5</v>
      </c>
      <c r="G4" s="1">
        <v>19</v>
      </c>
      <c r="H4" s="1">
        <v>11.5</v>
      </c>
      <c r="I4" s="1">
        <v>16</v>
      </c>
      <c r="J4" s="1">
        <v>19.5</v>
      </c>
      <c r="K4" s="1">
        <v>10.5</v>
      </c>
      <c r="L4" s="1">
        <v>12</v>
      </c>
      <c r="M4" s="1">
        <v>17</v>
      </c>
      <c r="N4" s="1">
        <v>19.5</v>
      </c>
      <c r="O4" s="1">
        <v>10</v>
      </c>
      <c r="P4" s="1">
        <v>15.5</v>
      </c>
      <c r="Q4" s="1">
        <v>9</v>
      </c>
      <c r="R4" s="1">
        <v>12</v>
      </c>
    </row>
    <row r="5" spans="1:18" x14ac:dyDescent="0.3">
      <c r="A5" t="s">
        <v>23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x14ac:dyDescent="0.3">
      <c r="A6" t="s">
        <v>24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3">
      <c r="A7" t="s">
        <v>25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3">
      <c r="A8" t="s">
        <v>26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3">
      <c r="A9" t="s">
        <v>27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3">
      <c r="A10" t="s">
        <v>28</v>
      </c>
      <c r="B10" s="1"/>
      <c r="C10" s="1"/>
      <c r="D10" s="1"/>
      <c r="E10" s="1" t="s">
        <v>6</v>
      </c>
      <c r="F10" s="1" t="s">
        <v>6</v>
      </c>
      <c r="G10" s="1"/>
      <c r="H10" s="1" t="s">
        <v>6</v>
      </c>
      <c r="I10" s="1"/>
      <c r="J10" s="1"/>
      <c r="K10" s="1" t="s">
        <v>7</v>
      </c>
      <c r="L10" s="1" t="s">
        <v>7</v>
      </c>
      <c r="M10" s="1" t="s">
        <v>7</v>
      </c>
      <c r="N10" s="1" t="s">
        <v>7</v>
      </c>
      <c r="O10" s="1" t="s">
        <v>7</v>
      </c>
      <c r="P10" s="1" t="s">
        <v>7</v>
      </c>
      <c r="Q10" s="1" t="s">
        <v>6</v>
      </c>
      <c r="R10" s="1" t="s">
        <v>6</v>
      </c>
    </row>
    <row r="11" spans="1:18" x14ac:dyDescent="0.3">
      <c r="A11" t="s">
        <v>29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 t="s">
        <v>6</v>
      </c>
      <c r="P11" s="1"/>
      <c r="Q11" s="1" t="s">
        <v>6</v>
      </c>
      <c r="R11" s="1" t="s">
        <v>6</v>
      </c>
    </row>
    <row r="12" spans="1:18" x14ac:dyDescent="0.3">
      <c r="A12" t="s">
        <v>30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3">
      <c r="A13" t="s">
        <v>31</v>
      </c>
      <c r="B13" s="1"/>
      <c r="C13" s="1"/>
      <c r="D13" s="1"/>
      <c r="E13" s="1"/>
      <c r="F13" s="1"/>
      <c r="G13" s="1"/>
      <c r="H13" s="1" t="s">
        <v>6</v>
      </c>
      <c r="I13" s="1"/>
      <c r="J13" s="1"/>
      <c r="K13" s="1"/>
      <c r="L13" s="1"/>
      <c r="M13" s="1"/>
      <c r="N13" s="1"/>
      <c r="O13" s="1" t="s">
        <v>6</v>
      </c>
      <c r="P13" s="1"/>
      <c r="Q13" s="1"/>
      <c r="R13" s="1"/>
    </row>
    <row r="14" spans="1:18" x14ac:dyDescent="0.3">
      <c r="A14" t="s">
        <v>32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3">
      <c r="A15" t="s">
        <v>33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3">
      <c r="A16" t="s">
        <v>34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 t="s">
        <v>6</v>
      </c>
      <c r="R16" s="1" t="s">
        <v>6</v>
      </c>
    </row>
    <row r="17" spans="1:18" x14ac:dyDescent="0.3">
      <c r="A17" t="s">
        <v>35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x14ac:dyDescent="0.3">
      <c r="A18" t="s">
        <v>36</v>
      </c>
      <c r="B18" s="1" t="s">
        <v>6</v>
      </c>
      <c r="C18" s="1" t="s">
        <v>6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x14ac:dyDescent="0.3">
      <c r="A19" t="s">
        <v>37</v>
      </c>
      <c r="B19" s="1" t="s">
        <v>6</v>
      </c>
      <c r="C19" s="1" t="s">
        <v>6</v>
      </c>
      <c r="D19" s="1"/>
      <c r="E19" s="1"/>
      <c r="F19" s="1"/>
      <c r="G19" s="1"/>
      <c r="H19" s="1" t="s">
        <v>9</v>
      </c>
      <c r="I19" s="1" t="s">
        <v>9</v>
      </c>
      <c r="J19" s="1" t="s">
        <v>9</v>
      </c>
      <c r="K19" s="1" t="s">
        <v>9</v>
      </c>
      <c r="L19" s="1" t="s">
        <v>9</v>
      </c>
      <c r="M19" s="1" t="s">
        <v>9</v>
      </c>
      <c r="N19" s="1" t="s">
        <v>9</v>
      </c>
      <c r="O19" s="1" t="s">
        <v>9</v>
      </c>
      <c r="P19" s="1" t="s">
        <v>9</v>
      </c>
      <c r="Q19" s="1" t="s">
        <v>9</v>
      </c>
      <c r="R19" s="1" t="s">
        <v>9</v>
      </c>
    </row>
    <row r="20" spans="1:18" x14ac:dyDescent="0.3">
      <c r="A20" t="s">
        <v>38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 t="s">
        <v>6</v>
      </c>
      <c r="P20" s="1"/>
      <c r="Q20" s="1"/>
      <c r="R20" s="1"/>
    </row>
    <row r="21" spans="1:18" x14ac:dyDescent="0.3">
      <c r="A21" t="s">
        <v>39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x14ac:dyDescent="0.3">
      <c r="A22" t="s">
        <v>40</v>
      </c>
      <c r="B22" s="1"/>
      <c r="C22" s="1"/>
      <c r="D22" s="1"/>
      <c r="E22" s="1"/>
      <c r="F22" s="1"/>
      <c r="G22" s="1"/>
      <c r="H22" s="1" t="s">
        <v>6</v>
      </c>
      <c r="I22" s="1"/>
      <c r="J22" s="1"/>
      <c r="K22" s="1"/>
      <c r="L22" s="1"/>
      <c r="M22" s="1"/>
      <c r="N22" s="1"/>
      <c r="O22" s="1" t="s">
        <v>6</v>
      </c>
      <c r="P22" s="1"/>
      <c r="Q22" s="1" t="s">
        <v>6</v>
      </c>
      <c r="R22" s="1" t="s">
        <v>6</v>
      </c>
    </row>
    <row r="23" spans="1:18" x14ac:dyDescent="0.3">
      <c r="A23" t="s">
        <v>41</v>
      </c>
      <c r="B23" s="1" t="s">
        <v>6</v>
      </c>
      <c r="C23" s="1" t="s">
        <v>6</v>
      </c>
      <c r="D23" s="1"/>
      <c r="E23" s="1"/>
      <c r="F23" s="1"/>
      <c r="G23" s="1"/>
      <c r="H23" s="1" t="s">
        <v>6</v>
      </c>
      <c r="I23" s="1"/>
      <c r="J23" s="1"/>
      <c r="K23" s="1" t="s">
        <v>6</v>
      </c>
      <c r="L23" s="1" t="s">
        <v>6</v>
      </c>
      <c r="M23" s="1"/>
      <c r="N23" s="1"/>
      <c r="O23" s="1" t="s">
        <v>6</v>
      </c>
      <c r="P23" s="1" t="s">
        <v>6</v>
      </c>
      <c r="Q23" s="1" t="s">
        <v>6</v>
      </c>
      <c r="R23" s="1" t="s">
        <v>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9"/>
  <dimension ref="A1:O23"/>
  <sheetViews>
    <sheetView workbookViewId="0">
      <selection activeCell="F25" sqref="F25"/>
    </sheetView>
  </sheetViews>
  <sheetFormatPr baseColWidth="10" defaultRowHeight="14.4" x14ac:dyDescent="0.3"/>
  <cols>
    <col min="1" max="1" width="12.6640625" bestFit="1" customWidth="1"/>
    <col min="2" max="2" width="9.6640625" bestFit="1" customWidth="1"/>
    <col min="3" max="3" width="5" bestFit="1" customWidth="1"/>
    <col min="4" max="4" width="6" bestFit="1" customWidth="1"/>
    <col min="5" max="5" width="7.33203125" bestFit="1" customWidth="1"/>
    <col min="6" max="6" width="9" bestFit="1" customWidth="1"/>
    <col min="7" max="7" width="6" bestFit="1" customWidth="1"/>
    <col min="8" max="8" width="8.6640625" bestFit="1" customWidth="1"/>
    <col min="9" max="9" width="5" bestFit="1" customWidth="1"/>
    <col min="10" max="10" width="5.6640625" bestFit="1" customWidth="1"/>
    <col min="11" max="11" width="9.6640625" bestFit="1" customWidth="1"/>
    <col min="12" max="12" width="9.33203125" bestFit="1" customWidth="1"/>
    <col min="13" max="13" width="6" bestFit="1" customWidth="1"/>
    <col min="14" max="14" width="5" bestFit="1" customWidth="1"/>
    <col min="15" max="15" width="7.5546875" bestFit="1" customWidth="1"/>
  </cols>
  <sheetData>
    <row r="1" spans="1:15" x14ac:dyDescent="0.3">
      <c r="A1">
        <v>6</v>
      </c>
      <c r="B1" t="s">
        <v>22</v>
      </c>
      <c r="F1" t="s">
        <v>18</v>
      </c>
      <c r="J1" t="s">
        <v>19</v>
      </c>
      <c r="L1" t="s">
        <v>20</v>
      </c>
      <c r="O1" t="s">
        <v>17</v>
      </c>
    </row>
    <row r="2" spans="1:15" x14ac:dyDescent="0.3">
      <c r="B2" s="1" t="s">
        <v>5</v>
      </c>
      <c r="C2" s="1" t="s">
        <v>11</v>
      </c>
      <c r="D2" s="1" t="s">
        <v>12</v>
      </c>
      <c r="E2" s="1" t="s">
        <v>4</v>
      </c>
      <c r="F2" s="1" t="s">
        <v>14</v>
      </c>
      <c r="G2" s="1" t="s">
        <v>11</v>
      </c>
      <c r="H2" s="1" t="s">
        <v>8</v>
      </c>
      <c r="I2" s="1" t="s">
        <v>13</v>
      </c>
      <c r="J2" s="1" t="s">
        <v>10</v>
      </c>
      <c r="K2" s="1" t="s">
        <v>5</v>
      </c>
      <c r="L2" s="1" t="s">
        <v>8</v>
      </c>
      <c r="M2" s="1" t="s">
        <v>13</v>
      </c>
      <c r="N2" s="1" t="s">
        <v>11</v>
      </c>
      <c r="O2" s="1" t="s">
        <v>10</v>
      </c>
    </row>
    <row r="3" spans="1:15" x14ac:dyDescent="0.3">
      <c r="B3" s="1">
        <v>8</v>
      </c>
      <c r="C3" s="1">
        <v>10</v>
      </c>
      <c r="D3" s="1">
        <v>13.75</v>
      </c>
      <c r="E3" s="1">
        <v>17</v>
      </c>
      <c r="F3" s="1">
        <v>8.5</v>
      </c>
      <c r="G3" s="1">
        <v>13.25</v>
      </c>
      <c r="H3" s="1">
        <v>15.25</v>
      </c>
      <c r="I3" s="1">
        <v>17.5</v>
      </c>
      <c r="J3" s="1">
        <v>8.5</v>
      </c>
      <c r="K3" s="1">
        <v>13.5</v>
      </c>
      <c r="L3" s="1">
        <v>8</v>
      </c>
      <c r="M3" s="1">
        <v>10.25</v>
      </c>
      <c r="N3" s="1">
        <v>13.5</v>
      </c>
      <c r="O3" s="1">
        <v>8.25</v>
      </c>
    </row>
    <row r="4" spans="1:15" x14ac:dyDescent="0.3">
      <c r="B4" s="1">
        <v>10</v>
      </c>
      <c r="C4" s="1">
        <v>12.5</v>
      </c>
      <c r="D4" s="1">
        <v>16.75</v>
      </c>
      <c r="E4" s="1">
        <v>19</v>
      </c>
      <c r="F4" s="1">
        <v>11.5</v>
      </c>
      <c r="G4" s="1">
        <v>15.25</v>
      </c>
      <c r="H4" s="1">
        <v>17.25</v>
      </c>
      <c r="I4" s="1">
        <v>19</v>
      </c>
      <c r="J4" s="1">
        <v>11.5</v>
      </c>
      <c r="K4" s="1">
        <v>15.5</v>
      </c>
      <c r="L4" s="1">
        <v>10</v>
      </c>
      <c r="M4" s="1">
        <v>12.25</v>
      </c>
      <c r="N4" s="1">
        <v>16</v>
      </c>
      <c r="O4" s="1">
        <v>11.75</v>
      </c>
    </row>
    <row r="5" spans="1:15" x14ac:dyDescent="0.3">
      <c r="A5" t="s">
        <v>23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x14ac:dyDescent="0.3">
      <c r="A6" t="s">
        <v>24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5" x14ac:dyDescent="0.3">
      <c r="A7" t="s">
        <v>25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5" x14ac:dyDescent="0.3">
      <c r="A8" t="s">
        <v>26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</row>
    <row r="9" spans="1:15" x14ac:dyDescent="0.3">
      <c r="A9" t="s">
        <v>27</v>
      </c>
      <c r="B9" s="1"/>
      <c r="C9" s="1" t="s">
        <v>9</v>
      </c>
      <c r="D9" s="1" t="s">
        <v>9</v>
      </c>
      <c r="E9" s="1"/>
      <c r="F9" s="1" t="s">
        <v>9</v>
      </c>
      <c r="G9" s="1" t="s">
        <v>9</v>
      </c>
      <c r="H9" s="1" t="s">
        <v>9</v>
      </c>
      <c r="I9" s="1"/>
      <c r="J9" s="1"/>
      <c r="K9" s="1"/>
      <c r="L9" s="1"/>
      <c r="M9" s="1"/>
      <c r="N9" s="1"/>
      <c r="O9" s="1"/>
    </row>
    <row r="10" spans="1:15" x14ac:dyDescent="0.3">
      <c r="A10" t="s">
        <v>28</v>
      </c>
      <c r="B10" s="1" t="s">
        <v>6</v>
      </c>
      <c r="C10" s="1" t="s">
        <v>6</v>
      </c>
      <c r="D10" s="1" t="s">
        <v>6</v>
      </c>
      <c r="E10" s="1"/>
      <c r="F10" s="1" t="s">
        <v>6</v>
      </c>
      <c r="G10" s="1" t="s">
        <v>6</v>
      </c>
      <c r="H10" s="1" t="s">
        <v>6</v>
      </c>
      <c r="I10" s="1" t="s">
        <v>6</v>
      </c>
      <c r="J10" s="1" t="s">
        <v>6</v>
      </c>
      <c r="K10" s="1" t="s">
        <v>6</v>
      </c>
      <c r="L10" s="1"/>
      <c r="M10" s="1"/>
      <c r="N10" s="1"/>
      <c r="O10" s="1" t="s">
        <v>6</v>
      </c>
    </row>
    <row r="11" spans="1:15" x14ac:dyDescent="0.3">
      <c r="A11" t="s">
        <v>29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1:15" x14ac:dyDescent="0.3">
      <c r="A12" t="s">
        <v>30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5" x14ac:dyDescent="0.3">
      <c r="A13" t="s">
        <v>31</v>
      </c>
      <c r="B13" s="1"/>
      <c r="C13" s="1"/>
      <c r="D13" s="1"/>
      <c r="E13" s="1"/>
      <c r="F13" s="1" t="s">
        <v>6</v>
      </c>
      <c r="G13" s="1"/>
      <c r="H13" s="1"/>
      <c r="I13" s="1"/>
      <c r="J13" s="1" t="s">
        <v>6</v>
      </c>
      <c r="K13" s="1" t="s">
        <v>6</v>
      </c>
      <c r="L13" s="1"/>
      <c r="M13" s="1"/>
      <c r="N13" s="1" t="s">
        <v>6</v>
      </c>
      <c r="O13" s="1" t="s">
        <v>6</v>
      </c>
    </row>
    <row r="14" spans="1:15" x14ac:dyDescent="0.3">
      <c r="A14" t="s">
        <v>32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5" x14ac:dyDescent="0.3">
      <c r="A15" t="s">
        <v>33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5" x14ac:dyDescent="0.3">
      <c r="A16" t="s">
        <v>34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 x14ac:dyDescent="0.3">
      <c r="A17" t="s">
        <v>35</v>
      </c>
      <c r="B17" s="1" t="s">
        <v>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 x14ac:dyDescent="0.3">
      <c r="A18" t="s">
        <v>36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1:15" x14ac:dyDescent="0.3">
      <c r="A19" t="s">
        <v>37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x14ac:dyDescent="0.3">
      <c r="A20" t="s">
        <v>38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1:15" x14ac:dyDescent="0.3">
      <c r="A21" t="s">
        <v>39</v>
      </c>
      <c r="B21" s="1" t="s">
        <v>6</v>
      </c>
      <c r="C21" s="1" t="s">
        <v>6</v>
      </c>
      <c r="D21" s="1" t="s">
        <v>6</v>
      </c>
      <c r="E21" s="1"/>
      <c r="F21" s="1" t="s">
        <v>6</v>
      </c>
      <c r="G21" s="1"/>
      <c r="H21" s="1"/>
      <c r="I21" s="1"/>
      <c r="J21" s="1"/>
      <c r="K21" s="1"/>
      <c r="L21" s="1"/>
      <c r="M21" s="1"/>
      <c r="N21" s="1"/>
      <c r="O21" s="1"/>
    </row>
    <row r="22" spans="1:15" x14ac:dyDescent="0.3">
      <c r="A22" t="s">
        <v>40</v>
      </c>
      <c r="B22" s="1" t="s">
        <v>6</v>
      </c>
      <c r="C22" s="1" t="s">
        <v>6</v>
      </c>
      <c r="D22" s="1" t="s">
        <v>6</v>
      </c>
      <c r="E22" s="1"/>
      <c r="F22" s="1" t="s">
        <v>6</v>
      </c>
      <c r="G22" s="1" t="s">
        <v>6</v>
      </c>
      <c r="H22" s="1" t="s">
        <v>6</v>
      </c>
      <c r="I22" s="1" t="s">
        <v>6</v>
      </c>
      <c r="J22" s="1" t="s">
        <v>6</v>
      </c>
      <c r="K22" s="1"/>
      <c r="L22" s="1"/>
      <c r="M22" s="1"/>
      <c r="N22" s="1"/>
      <c r="O22" s="1" t="s">
        <v>6</v>
      </c>
    </row>
    <row r="23" spans="1:15" x14ac:dyDescent="0.3">
      <c r="A23" t="s">
        <v>41</v>
      </c>
      <c r="B23" s="1" t="s">
        <v>6</v>
      </c>
      <c r="C23" s="1"/>
      <c r="D23" s="1"/>
      <c r="E23" s="1"/>
      <c r="F23" s="1" t="s">
        <v>6</v>
      </c>
      <c r="G23" s="1"/>
      <c r="H23" s="1"/>
      <c r="I23" s="1"/>
      <c r="J23" s="1" t="s">
        <v>6</v>
      </c>
      <c r="K23" s="1"/>
      <c r="L23" s="1"/>
      <c r="M23" s="1"/>
      <c r="N23" s="1"/>
      <c r="O23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0"/>
  <dimension ref="A1:R23"/>
  <sheetViews>
    <sheetView workbookViewId="0">
      <selection activeCell="F25" sqref="F25"/>
    </sheetView>
  </sheetViews>
  <sheetFormatPr baseColWidth="10" defaultRowHeight="14.4" x14ac:dyDescent="0.3"/>
  <cols>
    <col min="1" max="1" width="12.6640625" bestFit="1" customWidth="1"/>
    <col min="2" max="2" width="6" bestFit="1" customWidth="1"/>
    <col min="3" max="3" width="3.109375" bestFit="1" customWidth="1"/>
    <col min="4" max="4" width="9.6640625" bestFit="1" customWidth="1"/>
    <col min="5" max="5" width="9.33203125" bestFit="1" customWidth="1"/>
    <col min="6" max="6" width="3.109375" bestFit="1" customWidth="1"/>
    <col min="7" max="7" width="6" bestFit="1" customWidth="1"/>
    <col min="8" max="8" width="9" bestFit="1" customWidth="1"/>
    <col min="9" max="9" width="6" bestFit="1" customWidth="1"/>
    <col min="10" max="10" width="5.6640625" bestFit="1" customWidth="1"/>
    <col min="11" max="11" width="9.33203125" bestFit="1" customWidth="1"/>
    <col min="12" max="12" width="7.33203125" bestFit="1" customWidth="1"/>
    <col min="13" max="13" width="9.33203125" bestFit="1" customWidth="1"/>
    <col min="14" max="16" width="6" bestFit="1" customWidth="1"/>
    <col min="17" max="17" width="7.5546875" bestFit="1" customWidth="1"/>
    <col min="18" max="18" width="6" bestFit="1" customWidth="1"/>
  </cols>
  <sheetData>
    <row r="1" spans="1:18" x14ac:dyDescent="0.3">
      <c r="A1">
        <v>11</v>
      </c>
      <c r="B1" t="s">
        <v>21</v>
      </c>
      <c r="D1" t="s">
        <v>22</v>
      </c>
      <c r="H1" t="s">
        <v>18</v>
      </c>
      <c r="J1" t="s">
        <v>19</v>
      </c>
      <c r="M1" t="s">
        <v>20</v>
      </c>
      <c r="Q1" t="s">
        <v>17</v>
      </c>
    </row>
    <row r="2" spans="1:18" x14ac:dyDescent="0.3">
      <c r="B2" s="1" t="s">
        <v>13</v>
      </c>
      <c r="C2" s="1" t="s">
        <v>12</v>
      </c>
      <c r="D2" s="1" t="s">
        <v>5</v>
      </c>
      <c r="E2" s="1" t="s">
        <v>15</v>
      </c>
      <c r="F2" s="1" t="s">
        <v>12</v>
      </c>
      <c r="G2" s="1" t="s">
        <v>11</v>
      </c>
      <c r="H2" s="1" t="s">
        <v>8</v>
      </c>
      <c r="I2" s="1" t="s">
        <v>11</v>
      </c>
      <c r="J2" s="1" t="s">
        <v>10</v>
      </c>
      <c r="K2" s="1" t="s">
        <v>15</v>
      </c>
      <c r="L2" s="1" t="s">
        <v>4</v>
      </c>
      <c r="M2" s="1" t="s">
        <v>8</v>
      </c>
      <c r="N2" s="1" t="s">
        <v>13</v>
      </c>
      <c r="O2" s="1" t="s">
        <v>11</v>
      </c>
      <c r="P2" s="1" t="s">
        <v>11</v>
      </c>
      <c r="Q2" s="1" t="s">
        <v>10</v>
      </c>
      <c r="R2" s="1" t="s">
        <v>10</v>
      </c>
    </row>
    <row r="3" spans="1:18" x14ac:dyDescent="0.3">
      <c r="B3" s="1">
        <v>10.25</v>
      </c>
      <c r="C3" s="1">
        <v>14</v>
      </c>
      <c r="D3" s="1">
        <v>8</v>
      </c>
      <c r="E3" s="1">
        <v>10.25</v>
      </c>
      <c r="F3" s="1">
        <v>14</v>
      </c>
      <c r="G3" s="1">
        <v>17.25</v>
      </c>
      <c r="H3" s="1">
        <v>13</v>
      </c>
      <c r="I3" s="1">
        <v>15.25</v>
      </c>
      <c r="J3" s="1">
        <v>9</v>
      </c>
      <c r="K3" s="1">
        <v>13.75</v>
      </c>
      <c r="L3" s="1">
        <v>16</v>
      </c>
      <c r="M3" s="1">
        <v>8</v>
      </c>
      <c r="N3" s="1">
        <v>10.25</v>
      </c>
      <c r="O3" s="1">
        <v>13.75</v>
      </c>
      <c r="P3" s="1">
        <v>15.75</v>
      </c>
      <c r="Q3" s="1">
        <v>8.25</v>
      </c>
      <c r="R3" s="1">
        <v>10.25</v>
      </c>
    </row>
    <row r="4" spans="1:18" x14ac:dyDescent="0.3">
      <c r="B4" s="1">
        <v>12.25</v>
      </c>
      <c r="C4" s="1">
        <v>17</v>
      </c>
      <c r="D4" s="1">
        <v>10</v>
      </c>
      <c r="E4" s="1">
        <v>12.25</v>
      </c>
      <c r="F4" s="1">
        <v>17</v>
      </c>
      <c r="G4" s="1">
        <v>19.25</v>
      </c>
      <c r="H4" s="1">
        <v>15</v>
      </c>
      <c r="I4" s="1">
        <v>17.25</v>
      </c>
      <c r="J4" s="1">
        <v>11</v>
      </c>
      <c r="K4" s="1">
        <v>15.75</v>
      </c>
      <c r="L4" s="1">
        <v>18</v>
      </c>
      <c r="M4" s="1">
        <v>10</v>
      </c>
      <c r="N4" s="1">
        <v>12.25</v>
      </c>
      <c r="O4" s="1">
        <v>15.75</v>
      </c>
      <c r="P4" s="1">
        <v>17.75</v>
      </c>
      <c r="Q4" s="1">
        <v>10.25</v>
      </c>
      <c r="R4" s="1">
        <v>11.25</v>
      </c>
    </row>
    <row r="5" spans="1:18" x14ac:dyDescent="0.3">
      <c r="A5" t="s">
        <v>23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x14ac:dyDescent="0.3">
      <c r="A6" t="s">
        <v>24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3">
      <c r="A7" t="s">
        <v>25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3">
      <c r="A8" t="s">
        <v>26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3">
      <c r="A9" t="s">
        <v>27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3">
      <c r="A10" t="s">
        <v>28</v>
      </c>
      <c r="B10" s="1"/>
      <c r="C10" s="1"/>
      <c r="D10" s="1"/>
      <c r="E10" s="1"/>
      <c r="F10" s="1"/>
      <c r="G10" s="1"/>
      <c r="H10" s="1"/>
      <c r="I10" s="1"/>
      <c r="J10" s="1" t="s">
        <v>7</v>
      </c>
      <c r="K10" s="1" t="s">
        <v>7</v>
      </c>
      <c r="L10" s="1" t="s">
        <v>7</v>
      </c>
      <c r="M10" s="1" t="s">
        <v>6</v>
      </c>
      <c r="N10" s="1"/>
      <c r="O10" s="1"/>
      <c r="P10" s="1"/>
      <c r="Q10" s="1" t="s">
        <v>6</v>
      </c>
      <c r="R10" s="1" t="s">
        <v>6</v>
      </c>
    </row>
    <row r="11" spans="1:18" x14ac:dyDescent="0.3">
      <c r="A11" t="s">
        <v>29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 t="s">
        <v>6</v>
      </c>
      <c r="R11" s="1"/>
    </row>
    <row r="12" spans="1:18" x14ac:dyDescent="0.3">
      <c r="A12" t="s">
        <v>30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3">
      <c r="A13" t="s">
        <v>31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 t="s">
        <v>6</v>
      </c>
      <c r="N13" s="1"/>
      <c r="O13" s="1"/>
      <c r="P13" s="1"/>
      <c r="Q13" s="1" t="s">
        <v>6</v>
      </c>
      <c r="R13" s="1" t="s">
        <v>6</v>
      </c>
    </row>
    <row r="14" spans="1:18" x14ac:dyDescent="0.3">
      <c r="A14" t="s">
        <v>32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 t="s">
        <v>7</v>
      </c>
      <c r="N14" s="1"/>
      <c r="O14" s="1" t="s">
        <v>7</v>
      </c>
      <c r="P14" s="1" t="s">
        <v>7</v>
      </c>
      <c r="Q14" s="1" t="s">
        <v>7</v>
      </c>
      <c r="R14" s="1" t="s">
        <v>7</v>
      </c>
    </row>
    <row r="15" spans="1:18" x14ac:dyDescent="0.3">
      <c r="A15" t="s">
        <v>33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3">
      <c r="A16" t="s">
        <v>34</v>
      </c>
      <c r="B16" s="1"/>
      <c r="C16" s="1"/>
      <c r="D16" s="1"/>
      <c r="E16" s="1"/>
      <c r="F16" s="1"/>
      <c r="G16" s="1"/>
      <c r="H16" s="1" t="s">
        <v>6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3">
      <c r="A17" t="s">
        <v>35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x14ac:dyDescent="0.3">
      <c r="A18" t="s">
        <v>36</v>
      </c>
      <c r="B18" s="1"/>
      <c r="C18" s="1"/>
      <c r="D18" s="1" t="s">
        <v>7</v>
      </c>
      <c r="E18" s="1" t="s">
        <v>7</v>
      </c>
      <c r="F18" s="1" t="s">
        <v>7</v>
      </c>
      <c r="G18" s="1" t="s">
        <v>7</v>
      </c>
      <c r="H18" s="1"/>
      <c r="I18" s="1"/>
      <c r="J18" s="1"/>
      <c r="K18" s="1"/>
      <c r="L18" s="1"/>
      <c r="M18" s="1" t="s">
        <v>6</v>
      </c>
      <c r="N18" s="1"/>
      <c r="O18" s="1"/>
      <c r="P18" s="1"/>
      <c r="Q18" s="1"/>
      <c r="R18" s="1"/>
    </row>
    <row r="19" spans="1:18" x14ac:dyDescent="0.3">
      <c r="A19" t="s">
        <v>37</v>
      </c>
      <c r="B19" s="1"/>
      <c r="C19" s="1"/>
      <c r="D19" s="1" t="s">
        <v>9</v>
      </c>
      <c r="E19" s="1" t="s">
        <v>9</v>
      </c>
      <c r="F19" s="1" t="s">
        <v>9</v>
      </c>
      <c r="G19" s="1"/>
      <c r="H19" s="1" t="s">
        <v>9</v>
      </c>
      <c r="I19" s="1" t="s">
        <v>9</v>
      </c>
      <c r="J19" s="1" t="s">
        <v>9</v>
      </c>
      <c r="K19" s="1" t="s">
        <v>9</v>
      </c>
      <c r="L19" s="1" t="s">
        <v>9</v>
      </c>
      <c r="M19" s="1" t="s">
        <v>9</v>
      </c>
      <c r="N19" s="1"/>
      <c r="O19" s="1"/>
      <c r="P19" s="1"/>
      <c r="Q19" s="1" t="s">
        <v>9</v>
      </c>
      <c r="R19" s="1" t="s">
        <v>9</v>
      </c>
    </row>
    <row r="20" spans="1:18" x14ac:dyDescent="0.3">
      <c r="A20" t="s">
        <v>38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x14ac:dyDescent="0.3">
      <c r="A21" t="s">
        <v>39</v>
      </c>
      <c r="B21" s="1" t="s">
        <v>7</v>
      </c>
      <c r="C21" s="1"/>
      <c r="D21" s="1"/>
      <c r="E21" s="1"/>
      <c r="F21" s="1"/>
      <c r="G21" s="1"/>
      <c r="H21" s="1" t="s">
        <v>6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x14ac:dyDescent="0.3">
      <c r="A22" t="s">
        <v>40</v>
      </c>
      <c r="B22" s="1"/>
      <c r="C22" s="1"/>
      <c r="D22" s="1"/>
      <c r="E22" s="1"/>
      <c r="F22" s="1"/>
      <c r="G22" s="1"/>
      <c r="H22" s="1"/>
      <c r="I22" s="1"/>
      <c r="J22" s="1" t="s">
        <v>6</v>
      </c>
      <c r="K22" s="1"/>
      <c r="L22" s="1"/>
      <c r="M22" s="1" t="s">
        <v>6</v>
      </c>
      <c r="N22" s="1"/>
      <c r="O22" s="1"/>
      <c r="P22" s="1"/>
      <c r="Q22" s="1" t="s">
        <v>6</v>
      </c>
      <c r="R22" s="1"/>
    </row>
    <row r="23" spans="1:18" x14ac:dyDescent="0.3">
      <c r="A23" t="s">
        <v>41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 t="s">
        <v>7</v>
      </c>
      <c r="N23" s="1"/>
      <c r="O23" s="1" t="s">
        <v>7</v>
      </c>
      <c r="P23" s="1" t="s">
        <v>7</v>
      </c>
      <c r="Q23" s="1" t="s">
        <v>7</v>
      </c>
      <c r="R23" s="1" t="s">
        <v>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1"/>
  <dimension ref="A1:M23"/>
  <sheetViews>
    <sheetView workbookViewId="0">
      <selection activeCell="F25" sqref="F25"/>
    </sheetView>
  </sheetViews>
  <sheetFormatPr baseColWidth="10" defaultRowHeight="14.4" x14ac:dyDescent="0.3"/>
  <cols>
    <col min="1" max="1" width="12.6640625" bestFit="1" customWidth="1"/>
    <col min="2" max="2" width="9.6640625" bestFit="1" customWidth="1"/>
    <col min="3" max="3" width="9.33203125" bestFit="1" customWidth="1"/>
    <col min="4" max="4" width="3.109375" bestFit="1" customWidth="1"/>
    <col min="5" max="5" width="9" bestFit="1" customWidth="1"/>
    <col min="6" max="6" width="8.6640625" bestFit="1" customWidth="1"/>
    <col min="7" max="8" width="6" bestFit="1" customWidth="1"/>
    <col min="9" max="9" width="5.6640625" bestFit="1" customWidth="1"/>
    <col min="10" max="10" width="9.33203125" bestFit="1" customWidth="1"/>
    <col min="11" max="11" width="7.33203125" bestFit="1" customWidth="1"/>
    <col min="12" max="13" width="5" bestFit="1" customWidth="1"/>
  </cols>
  <sheetData>
    <row r="1" spans="1:13" x14ac:dyDescent="0.3">
      <c r="A1">
        <v>12</v>
      </c>
      <c r="B1" t="s">
        <v>22</v>
      </c>
      <c r="E1" t="s">
        <v>18</v>
      </c>
      <c r="I1" t="s">
        <v>19</v>
      </c>
      <c r="J1" t="s">
        <v>20</v>
      </c>
    </row>
    <row r="2" spans="1:13" x14ac:dyDescent="0.3">
      <c r="B2" s="1" t="s">
        <v>5</v>
      </c>
      <c r="C2" s="1" t="s">
        <v>15</v>
      </c>
      <c r="D2" s="1" t="s">
        <v>12</v>
      </c>
      <c r="E2" s="1" t="s">
        <v>14</v>
      </c>
      <c r="F2" s="1" t="s">
        <v>8</v>
      </c>
      <c r="G2" s="1" t="s">
        <v>12</v>
      </c>
      <c r="H2" s="1" t="s">
        <v>12</v>
      </c>
      <c r="I2" s="1" t="s">
        <v>10</v>
      </c>
      <c r="J2" s="1" t="s">
        <v>8</v>
      </c>
      <c r="K2" s="1" t="s">
        <v>4</v>
      </c>
      <c r="L2" s="1" t="s">
        <v>11</v>
      </c>
      <c r="M2" s="1" t="s">
        <v>11</v>
      </c>
    </row>
    <row r="3" spans="1:13" x14ac:dyDescent="0.3">
      <c r="B3" s="1">
        <v>8</v>
      </c>
      <c r="C3" s="1">
        <v>10.25</v>
      </c>
      <c r="D3" s="1">
        <v>15</v>
      </c>
      <c r="E3" s="1">
        <v>9</v>
      </c>
      <c r="F3" s="1">
        <v>13</v>
      </c>
      <c r="G3" s="1">
        <v>15.25</v>
      </c>
      <c r="H3" s="1">
        <v>17.25</v>
      </c>
      <c r="I3" s="1">
        <v>8.5</v>
      </c>
      <c r="J3" s="1">
        <v>8</v>
      </c>
      <c r="K3" s="1">
        <v>10.25</v>
      </c>
      <c r="L3" s="1">
        <v>13.5</v>
      </c>
      <c r="M3" s="1">
        <v>15.5</v>
      </c>
    </row>
    <row r="4" spans="1:13" x14ac:dyDescent="0.3">
      <c r="B4" s="1">
        <v>10</v>
      </c>
      <c r="C4" s="1">
        <v>12.25</v>
      </c>
      <c r="D4" s="1">
        <v>18</v>
      </c>
      <c r="E4" s="1">
        <v>11</v>
      </c>
      <c r="F4" s="1">
        <v>15</v>
      </c>
      <c r="G4" s="1">
        <v>17.25</v>
      </c>
      <c r="H4" s="1">
        <v>18.25</v>
      </c>
      <c r="I4" s="1">
        <v>11.5</v>
      </c>
      <c r="J4" s="1">
        <v>10</v>
      </c>
      <c r="K4" s="1">
        <v>12.25</v>
      </c>
      <c r="L4" s="1">
        <v>15.5</v>
      </c>
      <c r="M4" s="1">
        <v>17.5</v>
      </c>
    </row>
    <row r="5" spans="1:13" x14ac:dyDescent="0.3">
      <c r="A5" t="s">
        <v>23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3">
      <c r="A6" t="s">
        <v>24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x14ac:dyDescent="0.3">
      <c r="A7" t="s">
        <v>25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3">
      <c r="A8" t="s">
        <v>26</v>
      </c>
      <c r="B8" s="1" t="s">
        <v>6</v>
      </c>
      <c r="C8" s="1" t="s">
        <v>6</v>
      </c>
      <c r="D8" s="1"/>
      <c r="E8" s="1"/>
      <c r="F8" s="1"/>
      <c r="G8" s="1"/>
      <c r="H8" s="1"/>
      <c r="I8" s="1"/>
      <c r="J8" s="1" t="s">
        <v>6</v>
      </c>
      <c r="K8" s="1"/>
      <c r="L8" s="1"/>
      <c r="M8" s="1"/>
    </row>
    <row r="9" spans="1:13" x14ac:dyDescent="0.3">
      <c r="A9" t="s">
        <v>27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3">
      <c r="A10" t="s">
        <v>28</v>
      </c>
      <c r="B10" s="1"/>
      <c r="C10" s="1"/>
      <c r="D10" s="1"/>
      <c r="E10" s="1"/>
      <c r="F10" s="1" t="s">
        <v>6</v>
      </c>
      <c r="G10" s="1"/>
      <c r="H10" s="1"/>
      <c r="I10" s="1" t="s">
        <v>6</v>
      </c>
      <c r="J10" s="1" t="s">
        <v>6</v>
      </c>
      <c r="K10" s="1"/>
      <c r="L10" s="1"/>
      <c r="M10" s="1"/>
    </row>
    <row r="11" spans="1:13" x14ac:dyDescent="0.3">
      <c r="A11" t="s">
        <v>29</v>
      </c>
      <c r="B11" s="1" t="s">
        <v>6</v>
      </c>
      <c r="C11" s="1"/>
      <c r="D11" s="1"/>
      <c r="E11" s="1"/>
      <c r="F11" s="1"/>
      <c r="G11" s="1"/>
      <c r="H11" s="1"/>
      <c r="I11" s="1" t="s">
        <v>6</v>
      </c>
      <c r="J11" s="1" t="s">
        <v>6</v>
      </c>
      <c r="K11" s="1"/>
      <c r="L11" s="1"/>
      <c r="M11" s="1"/>
    </row>
    <row r="12" spans="1:13" x14ac:dyDescent="0.3">
      <c r="A12" t="s">
        <v>30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3">
      <c r="A13" t="s">
        <v>31</v>
      </c>
      <c r="B13" s="1" t="s">
        <v>9</v>
      </c>
      <c r="C13" s="1" t="s">
        <v>9</v>
      </c>
      <c r="D13" s="1" t="s">
        <v>9</v>
      </c>
      <c r="E13" s="1"/>
      <c r="F13" s="1" t="s">
        <v>9</v>
      </c>
      <c r="G13" s="1" t="s">
        <v>9</v>
      </c>
      <c r="H13" s="1" t="s">
        <v>9</v>
      </c>
      <c r="I13" s="1" t="s">
        <v>9</v>
      </c>
      <c r="J13" s="1" t="s">
        <v>9</v>
      </c>
      <c r="K13" s="1"/>
      <c r="L13" s="1"/>
      <c r="M13" s="1"/>
    </row>
    <row r="14" spans="1:13" x14ac:dyDescent="0.3">
      <c r="A14" t="s">
        <v>32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3">
      <c r="A15" t="s">
        <v>33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3">
      <c r="A16" t="s">
        <v>34</v>
      </c>
      <c r="B16" s="1" t="s">
        <v>6</v>
      </c>
      <c r="C16" s="1" t="s">
        <v>6</v>
      </c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3">
      <c r="A17" t="s">
        <v>35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3">
      <c r="A18" t="s">
        <v>36</v>
      </c>
      <c r="B18" s="1"/>
      <c r="C18" s="1" t="s">
        <v>7</v>
      </c>
      <c r="D18" s="1" t="s">
        <v>7</v>
      </c>
      <c r="E18" s="1"/>
      <c r="F18" s="1" t="s">
        <v>6</v>
      </c>
      <c r="G18" s="1"/>
      <c r="H18" s="1"/>
      <c r="I18" s="1"/>
      <c r="J18" s="1"/>
      <c r="K18" s="1"/>
      <c r="L18" s="1"/>
      <c r="M18" s="1"/>
    </row>
    <row r="19" spans="1:13" x14ac:dyDescent="0.3">
      <c r="A19" t="s">
        <v>37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3">
      <c r="A20" t="s">
        <v>38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3">
      <c r="A21" t="s">
        <v>39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3">
      <c r="A22" t="s">
        <v>40</v>
      </c>
      <c r="B22" s="1"/>
      <c r="C22" s="1"/>
      <c r="D22" s="1"/>
      <c r="E22" s="1"/>
      <c r="F22" s="1"/>
      <c r="G22" s="1"/>
      <c r="H22" s="1"/>
      <c r="I22" s="1" t="s">
        <v>6</v>
      </c>
      <c r="J22" s="1" t="s">
        <v>6</v>
      </c>
      <c r="K22" s="1"/>
      <c r="L22" s="1"/>
      <c r="M22" s="1"/>
    </row>
    <row r="23" spans="1:13" x14ac:dyDescent="0.3">
      <c r="A23" t="s">
        <v>41</v>
      </c>
      <c r="B23" s="1" t="s">
        <v>6</v>
      </c>
      <c r="C23" s="1"/>
      <c r="D23" s="1"/>
      <c r="E23" s="1"/>
      <c r="F23" s="1"/>
      <c r="G23" s="1"/>
      <c r="H23" s="1"/>
      <c r="I23" s="1" t="s">
        <v>6</v>
      </c>
      <c r="J23" s="1" t="s">
        <v>6</v>
      </c>
      <c r="K23" s="1"/>
      <c r="L23" s="1"/>
      <c r="M23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2"/>
  <dimension ref="A1:Q23"/>
  <sheetViews>
    <sheetView workbookViewId="0">
      <selection activeCell="F25" sqref="F25"/>
    </sheetView>
  </sheetViews>
  <sheetFormatPr baseColWidth="10" defaultRowHeight="14.4" x14ac:dyDescent="0.3"/>
  <cols>
    <col min="1" max="1" width="12.6640625" bestFit="1" customWidth="1"/>
    <col min="2" max="2" width="9.33203125" bestFit="1" customWidth="1"/>
    <col min="3" max="3" width="6" bestFit="1" customWidth="1"/>
    <col min="4" max="4" width="9" bestFit="1" customWidth="1"/>
    <col min="5" max="5" width="8.6640625" bestFit="1" customWidth="1"/>
    <col min="6" max="6" width="6" bestFit="1" customWidth="1"/>
    <col min="7" max="7" width="5.6640625" bestFit="1" customWidth="1"/>
    <col min="8" max="8" width="5" bestFit="1" customWidth="1"/>
    <col min="9" max="9" width="9.33203125" bestFit="1" customWidth="1"/>
    <col min="10" max="11" width="5" bestFit="1" customWidth="1"/>
    <col min="12" max="12" width="9.33203125" bestFit="1" customWidth="1"/>
    <col min="13" max="13" width="5" bestFit="1" customWidth="1"/>
    <col min="14" max="14" width="3.44140625" bestFit="1" customWidth="1"/>
    <col min="15" max="15" width="5" bestFit="1" customWidth="1"/>
    <col min="16" max="16" width="7.5546875" bestFit="1" customWidth="1"/>
    <col min="17" max="17" width="4.6640625" bestFit="1" customWidth="1"/>
  </cols>
  <sheetData>
    <row r="1" spans="1:17" x14ac:dyDescent="0.3">
      <c r="A1">
        <v>13</v>
      </c>
      <c r="B1" t="s">
        <v>22</v>
      </c>
      <c r="D1" t="s">
        <v>18</v>
      </c>
      <c r="G1" t="s">
        <v>19</v>
      </c>
      <c r="L1" t="s">
        <v>20</v>
      </c>
      <c r="P1" t="s">
        <v>17</v>
      </c>
    </row>
    <row r="2" spans="1:17" x14ac:dyDescent="0.3">
      <c r="B2" s="1" t="s">
        <v>15</v>
      </c>
      <c r="C2" s="1" t="s">
        <v>12</v>
      </c>
      <c r="D2" s="1" t="s">
        <v>13</v>
      </c>
      <c r="E2" s="1" t="s">
        <v>8</v>
      </c>
      <c r="F2" s="1" t="s">
        <v>12</v>
      </c>
      <c r="G2" s="1" t="s">
        <v>10</v>
      </c>
      <c r="H2" s="1" t="s">
        <v>10</v>
      </c>
      <c r="I2" s="1" t="s">
        <v>15</v>
      </c>
      <c r="J2" s="1" t="s">
        <v>10</v>
      </c>
      <c r="K2" s="1" t="s">
        <v>10</v>
      </c>
      <c r="L2" s="1" t="s">
        <v>8</v>
      </c>
      <c r="M2" s="1" t="s">
        <v>13</v>
      </c>
      <c r="N2" s="1" t="s">
        <v>10</v>
      </c>
      <c r="O2" s="1" t="s">
        <v>10</v>
      </c>
      <c r="P2" s="1" t="s">
        <v>11</v>
      </c>
      <c r="Q2" s="1" t="s">
        <v>11</v>
      </c>
    </row>
    <row r="3" spans="1:17" x14ac:dyDescent="0.3">
      <c r="B3" s="1">
        <v>10.5</v>
      </c>
      <c r="C3" s="1">
        <v>13.75</v>
      </c>
      <c r="D3" s="1">
        <v>10.25</v>
      </c>
      <c r="E3" s="1">
        <v>13</v>
      </c>
      <c r="F3" s="1">
        <v>15.25</v>
      </c>
      <c r="G3" s="1">
        <v>8.5</v>
      </c>
      <c r="H3" s="1">
        <v>10.5</v>
      </c>
      <c r="I3" s="1">
        <v>13.5</v>
      </c>
      <c r="J3" s="1">
        <v>15.5</v>
      </c>
      <c r="K3" s="1">
        <v>16.5</v>
      </c>
      <c r="L3" s="1">
        <v>8</v>
      </c>
      <c r="M3" s="1">
        <v>10.5</v>
      </c>
      <c r="N3" s="1">
        <v>14</v>
      </c>
      <c r="O3" s="1">
        <v>16</v>
      </c>
      <c r="P3" s="1">
        <v>8</v>
      </c>
      <c r="Q3" s="1">
        <v>10</v>
      </c>
    </row>
    <row r="4" spans="1:17" x14ac:dyDescent="0.3">
      <c r="B4" s="1">
        <v>12.5</v>
      </c>
      <c r="C4" s="1">
        <v>16.75</v>
      </c>
      <c r="D4" s="1">
        <v>12.25</v>
      </c>
      <c r="E4" s="1">
        <v>15</v>
      </c>
      <c r="F4" s="1">
        <v>18.25</v>
      </c>
      <c r="G4" s="1">
        <v>10.5</v>
      </c>
      <c r="H4" s="1">
        <v>12</v>
      </c>
      <c r="I4" s="1">
        <v>15.5</v>
      </c>
      <c r="J4" s="1">
        <v>16.5</v>
      </c>
      <c r="K4" s="1">
        <v>18</v>
      </c>
      <c r="L4" s="1">
        <v>10</v>
      </c>
      <c r="M4" s="1">
        <v>12.5</v>
      </c>
      <c r="N4" s="1">
        <v>16</v>
      </c>
      <c r="O4" s="1">
        <v>17.5</v>
      </c>
      <c r="P4" s="1">
        <v>10</v>
      </c>
      <c r="Q4" s="1">
        <v>12</v>
      </c>
    </row>
    <row r="5" spans="1:17" x14ac:dyDescent="0.3">
      <c r="A5" t="s">
        <v>23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x14ac:dyDescent="0.3">
      <c r="A6" t="s">
        <v>24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3">
      <c r="A7" t="s">
        <v>25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x14ac:dyDescent="0.3">
      <c r="A8" t="s">
        <v>26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 t="s">
        <v>6</v>
      </c>
      <c r="Q8" s="1" t="s">
        <v>6</v>
      </c>
    </row>
    <row r="9" spans="1:17" x14ac:dyDescent="0.3">
      <c r="A9" t="s">
        <v>27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3">
      <c r="A10" t="s">
        <v>28</v>
      </c>
      <c r="B10" s="1" t="s">
        <v>7</v>
      </c>
      <c r="C10" s="1" t="s">
        <v>7</v>
      </c>
      <c r="D10" s="1"/>
      <c r="E10" s="1"/>
      <c r="F10" s="1"/>
      <c r="G10" s="1"/>
      <c r="H10" s="1"/>
      <c r="I10" s="1"/>
      <c r="J10" s="1"/>
      <c r="K10" s="1"/>
      <c r="L10" s="1" t="s">
        <v>7</v>
      </c>
      <c r="M10" s="1" t="s">
        <v>7</v>
      </c>
      <c r="N10" s="1" t="s">
        <v>7</v>
      </c>
      <c r="O10" s="1" t="s">
        <v>7</v>
      </c>
      <c r="P10" s="1" t="s">
        <v>6</v>
      </c>
      <c r="Q10" s="1" t="s">
        <v>6</v>
      </c>
    </row>
    <row r="11" spans="1:17" x14ac:dyDescent="0.3">
      <c r="A11" t="s">
        <v>29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 t="s">
        <v>6</v>
      </c>
      <c r="O11" s="1"/>
      <c r="P11" s="1" t="s">
        <v>6</v>
      </c>
      <c r="Q11" s="1" t="s">
        <v>6</v>
      </c>
    </row>
    <row r="12" spans="1:17" x14ac:dyDescent="0.3">
      <c r="A12" t="s">
        <v>30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3">
      <c r="A13" t="s">
        <v>31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 t="s">
        <v>6</v>
      </c>
      <c r="O13" s="1"/>
      <c r="P13" s="1" t="s">
        <v>6</v>
      </c>
      <c r="Q13" s="1" t="s">
        <v>6</v>
      </c>
    </row>
    <row r="14" spans="1:17" x14ac:dyDescent="0.3">
      <c r="A14" t="s">
        <v>32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3">
      <c r="A15" t="s">
        <v>33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3">
      <c r="A16" t="s">
        <v>34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3">
      <c r="A17" t="s">
        <v>35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3">
      <c r="A18" t="s">
        <v>36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3">
      <c r="A19" t="s">
        <v>37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 t="s">
        <v>7</v>
      </c>
      <c r="N19" s="1" t="s">
        <v>7</v>
      </c>
      <c r="O19" s="1" t="s">
        <v>7</v>
      </c>
      <c r="P19" s="1"/>
      <c r="Q19" s="1"/>
    </row>
    <row r="20" spans="1:17" x14ac:dyDescent="0.3">
      <c r="A20" t="s">
        <v>38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3">
      <c r="A21" t="s">
        <v>39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 t="s">
        <v>6</v>
      </c>
      <c r="Q21" s="1" t="s">
        <v>6</v>
      </c>
    </row>
    <row r="22" spans="1:17" x14ac:dyDescent="0.3">
      <c r="A22" t="s">
        <v>40</v>
      </c>
      <c r="B22" s="1" t="s">
        <v>7</v>
      </c>
      <c r="C22" s="1" t="s">
        <v>7</v>
      </c>
      <c r="D22" s="1"/>
      <c r="E22" s="1"/>
      <c r="F22" s="1"/>
      <c r="G22" s="1" t="s">
        <v>6</v>
      </c>
      <c r="H22" s="1" t="s">
        <v>6</v>
      </c>
      <c r="I22" s="1"/>
      <c r="J22" s="1"/>
      <c r="K22" s="1"/>
      <c r="L22" s="1"/>
      <c r="M22" s="1"/>
      <c r="N22" s="1" t="s">
        <v>6</v>
      </c>
      <c r="O22" s="1"/>
      <c r="P22" s="1" t="s">
        <v>6</v>
      </c>
      <c r="Q22" s="1" t="s">
        <v>6</v>
      </c>
    </row>
    <row r="23" spans="1:17" x14ac:dyDescent="0.3">
      <c r="A23" t="s">
        <v>41</v>
      </c>
      <c r="B23" s="1"/>
      <c r="C23" s="1"/>
      <c r="D23" s="1"/>
      <c r="E23" s="1"/>
      <c r="F23" s="1"/>
      <c r="G23" s="1" t="s">
        <v>6</v>
      </c>
      <c r="H23" s="1" t="s">
        <v>6</v>
      </c>
      <c r="I23" s="1"/>
      <c r="J23" s="1"/>
      <c r="K23" s="1"/>
      <c r="L23" s="1"/>
      <c r="M23" s="1"/>
      <c r="N23" s="1" t="s">
        <v>6</v>
      </c>
      <c r="O23" s="1"/>
      <c r="P23" s="1" t="s">
        <v>6</v>
      </c>
      <c r="Q23" s="1" t="s">
        <v>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3"/>
  <dimension ref="A1:M23"/>
  <sheetViews>
    <sheetView workbookViewId="0">
      <selection activeCell="F25" sqref="F25"/>
    </sheetView>
  </sheetViews>
  <sheetFormatPr baseColWidth="10" defaultRowHeight="14.4" x14ac:dyDescent="0.3"/>
  <cols>
    <col min="1" max="1" width="12.6640625" bestFit="1" customWidth="1"/>
    <col min="2" max="2" width="9" bestFit="1" customWidth="1"/>
    <col min="3" max="3" width="8.6640625" bestFit="1" customWidth="1"/>
    <col min="4" max="4" width="5.6640625" bestFit="1" customWidth="1"/>
    <col min="5" max="5" width="5" bestFit="1" customWidth="1"/>
    <col min="6" max="6" width="9.33203125" bestFit="1" customWidth="1"/>
    <col min="7" max="7" width="9.6640625" bestFit="1" customWidth="1"/>
    <col min="8" max="8" width="9.33203125" bestFit="1" customWidth="1"/>
    <col min="9" max="11" width="6" bestFit="1" customWidth="1"/>
    <col min="12" max="12" width="7.5546875" bestFit="1" customWidth="1"/>
    <col min="13" max="13" width="5" bestFit="1" customWidth="1"/>
  </cols>
  <sheetData>
    <row r="1" spans="1:13" x14ac:dyDescent="0.3">
      <c r="A1">
        <v>18</v>
      </c>
      <c r="B1" t="s">
        <v>18</v>
      </c>
      <c r="D1" t="s">
        <v>19</v>
      </c>
      <c r="H1" t="s">
        <v>20</v>
      </c>
      <c r="L1" t="s">
        <v>17</v>
      </c>
    </row>
    <row r="2" spans="1:13" x14ac:dyDescent="0.3">
      <c r="B2" s="1" t="s">
        <v>12</v>
      </c>
      <c r="C2" s="1" t="s">
        <v>8</v>
      </c>
      <c r="D2" s="1" t="s">
        <v>10</v>
      </c>
      <c r="E2" s="1" t="s">
        <v>10</v>
      </c>
      <c r="F2" s="1" t="s">
        <v>15</v>
      </c>
      <c r="G2" s="1" t="s">
        <v>5</v>
      </c>
      <c r="H2" s="1" t="s">
        <v>13</v>
      </c>
      <c r="I2" s="1" t="s">
        <v>13</v>
      </c>
      <c r="J2" s="1" t="s">
        <v>11</v>
      </c>
      <c r="K2" s="1" t="s">
        <v>11</v>
      </c>
      <c r="L2" s="1" t="s">
        <v>10</v>
      </c>
      <c r="M2" s="1" t="s">
        <v>10</v>
      </c>
    </row>
    <row r="3" spans="1:13" x14ac:dyDescent="0.3">
      <c r="B3" s="1">
        <v>9</v>
      </c>
      <c r="C3" s="1">
        <v>14</v>
      </c>
      <c r="D3" s="1">
        <v>9</v>
      </c>
      <c r="E3" s="1">
        <v>11</v>
      </c>
      <c r="F3" s="1">
        <v>13.75</v>
      </c>
      <c r="G3" s="1">
        <v>16</v>
      </c>
      <c r="H3" s="1">
        <v>8.25</v>
      </c>
      <c r="I3" s="1">
        <v>10.25</v>
      </c>
      <c r="J3" s="1">
        <v>13.75</v>
      </c>
      <c r="K3" s="1">
        <v>15.75</v>
      </c>
      <c r="L3" s="1">
        <v>8.25</v>
      </c>
      <c r="M3" s="1">
        <v>10</v>
      </c>
    </row>
    <row r="4" spans="1:13" x14ac:dyDescent="0.3">
      <c r="B4" s="1">
        <v>13</v>
      </c>
      <c r="C4" s="1">
        <v>16</v>
      </c>
      <c r="D4" s="1">
        <v>11</v>
      </c>
      <c r="E4" s="1">
        <v>12.5</v>
      </c>
      <c r="F4" s="1">
        <v>15.75</v>
      </c>
      <c r="G4" s="1">
        <v>17.5</v>
      </c>
      <c r="H4" s="1">
        <v>10.25</v>
      </c>
      <c r="I4" s="1">
        <v>12.25</v>
      </c>
      <c r="J4" s="1">
        <v>15.75</v>
      </c>
      <c r="K4" s="1">
        <v>17.75</v>
      </c>
      <c r="L4" s="1">
        <v>9.75</v>
      </c>
      <c r="M4" s="1">
        <v>11.5</v>
      </c>
    </row>
    <row r="5" spans="1:13" x14ac:dyDescent="0.3">
      <c r="A5" t="s">
        <v>23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3">
      <c r="A6" t="s">
        <v>24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x14ac:dyDescent="0.3">
      <c r="A7" t="s">
        <v>25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3">
      <c r="A8" t="s">
        <v>26</v>
      </c>
      <c r="B8" s="1"/>
      <c r="C8" s="1"/>
      <c r="D8" s="1"/>
      <c r="E8" s="1"/>
      <c r="F8" s="1" t="s">
        <v>6</v>
      </c>
      <c r="G8" s="1"/>
      <c r="H8" s="1"/>
      <c r="I8" s="1"/>
      <c r="J8" s="1"/>
      <c r="K8" s="1"/>
      <c r="L8" s="1"/>
      <c r="M8" s="1"/>
    </row>
    <row r="9" spans="1:13" x14ac:dyDescent="0.3">
      <c r="A9" t="s">
        <v>27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3">
      <c r="A10" t="s">
        <v>28</v>
      </c>
      <c r="B10" s="1" t="s">
        <v>6</v>
      </c>
      <c r="C10" s="1"/>
      <c r="D10" s="1" t="s">
        <v>6</v>
      </c>
      <c r="E10" s="1" t="s">
        <v>6</v>
      </c>
      <c r="F10" s="1"/>
      <c r="G10" s="1"/>
      <c r="H10" s="1" t="s">
        <v>6</v>
      </c>
      <c r="I10" s="1" t="s">
        <v>6</v>
      </c>
      <c r="J10" s="1"/>
      <c r="K10" s="1"/>
      <c r="L10" s="1"/>
      <c r="M10" s="1"/>
    </row>
    <row r="11" spans="1:13" x14ac:dyDescent="0.3">
      <c r="A11" t="s">
        <v>29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3">
      <c r="A12" t="s">
        <v>30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3">
      <c r="A13" t="s">
        <v>31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3">
      <c r="A14" t="s">
        <v>32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3">
      <c r="A15" t="s">
        <v>33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3">
      <c r="A16" t="s">
        <v>34</v>
      </c>
      <c r="B16" s="1"/>
      <c r="C16" s="1"/>
      <c r="D16" s="1"/>
      <c r="E16" s="1"/>
      <c r="F16" s="1" t="s">
        <v>6</v>
      </c>
      <c r="G16" s="1"/>
      <c r="H16" s="1"/>
      <c r="I16" s="1"/>
      <c r="J16" s="1"/>
      <c r="K16" s="1"/>
      <c r="L16" s="1"/>
      <c r="M16" s="1"/>
    </row>
    <row r="17" spans="1:13" x14ac:dyDescent="0.3">
      <c r="A17" t="s">
        <v>35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3">
      <c r="A18" t="s">
        <v>36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3">
      <c r="A19" t="s">
        <v>37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3">
      <c r="A20" t="s">
        <v>38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3">
      <c r="A21" t="s">
        <v>39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3">
      <c r="A22" t="s">
        <v>40</v>
      </c>
      <c r="B22" s="1"/>
      <c r="C22" s="1"/>
      <c r="D22" s="1" t="s">
        <v>6</v>
      </c>
      <c r="E22" s="1" t="s">
        <v>6</v>
      </c>
      <c r="F22" s="1"/>
      <c r="G22" s="1"/>
      <c r="H22" s="1"/>
      <c r="I22" s="1"/>
      <c r="J22" s="1"/>
      <c r="K22" s="1"/>
      <c r="L22" s="1"/>
      <c r="M22" s="1"/>
    </row>
    <row r="23" spans="1:13" x14ac:dyDescent="0.3">
      <c r="A23" t="s">
        <v>41</v>
      </c>
      <c r="B23" s="1"/>
      <c r="C23" s="1"/>
      <c r="D23" s="1"/>
      <c r="E23" s="1"/>
      <c r="F23" s="1"/>
      <c r="G23" s="1"/>
      <c r="H23" s="1" t="s">
        <v>6</v>
      </c>
      <c r="I23" s="1" t="s">
        <v>6</v>
      </c>
      <c r="J23" s="1"/>
      <c r="K23" s="1"/>
      <c r="L23" s="1"/>
      <c r="M23" s="1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4"/>
  <dimension ref="A1:K23"/>
  <sheetViews>
    <sheetView workbookViewId="0">
      <selection activeCell="F25" sqref="F25"/>
    </sheetView>
  </sheetViews>
  <sheetFormatPr baseColWidth="10" defaultRowHeight="14.4" x14ac:dyDescent="0.3"/>
  <cols>
    <col min="1" max="1" width="12.6640625" bestFit="1" customWidth="1"/>
    <col min="2" max="2" width="9" bestFit="1" customWidth="1"/>
    <col min="3" max="3" width="8.6640625" bestFit="1" customWidth="1"/>
    <col min="4" max="4" width="6" bestFit="1" customWidth="1"/>
    <col min="5" max="5" width="5.6640625" bestFit="1" customWidth="1"/>
    <col min="6" max="7" width="9.33203125" bestFit="1" customWidth="1"/>
    <col min="8" max="8" width="6" bestFit="1" customWidth="1"/>
    <col min="9" max="9" width="7.33203125" bestFit="1" customWidth="1"/>
    <col min="10" max="10" width="7.5546875" bestFit="1" customWidth="1"/>
    <col min="11" max="11" width="4.6640625" bestFit="1" customWidth="1"/>
  </cols>
  <sheetData>
    <row r="1" spans="1:11" x14ac:dyDescent="0.3">
      <c r="A1">
        <v>19</v>
      </c>
      <c r="B1" t="s">
        <v>18</v>
      </c>
      <c r="E1" t="s">
        <v>19</v>
      </c>
      <c r="G1" t="s">
        <v>20</v>
      </c>
      <c r="J1" t="s">
        <v>17</v>
      </c>
    </row>
    <row r="2" spans="1:11" x14ac:dyDescent="0.3">
      <c r="B2" s="1" t="s">
        <v>12</v>
      </c>
      <c r="C2" s="1" t="s">
        <v>8</v>
      </c>
      <c r="D2" s="1" t="s">
        <v>12</v>
      </c>
      <c r="E2" s="1" t="s">
        <v>10</v>
      </c>
      <c r="F2" s="1" t="s">
        <v>15</v>
      </c>
      <c r="G2" s="1" t="s">
        <v>13</v>
      </c>
      <c r="H2" s="1" t="s">
        <v>13</v>
      </c>
      <c r="I2" s="1" t="s">
        <v>4</v>
      </c>
      <c r="J2" s="1" t="s">
        <v>11</v>
      </c>
      <c r="K2" s="1" t="s">
        <v>11</v>
      </c>
    </row>
    <row r="3" spans="1:11" x14ac:dyDescent="0.3">
      <c r="B3" s="1">
        <v>9</v>
      </c>
      <c r="C3" s="1">
        <v>13</v>
      </c>
      <c r="D3" s="1">
        <v>15.25</v>
      </c>
      <c r="E3" s="1">
        <v>9</v>
      </c>
      <c r="F3" s="1">
        <v>13.75</v>
      </c>
      <c r="G3" s="1">
        <v>8.25</v>
      </c>
      <c r="H3" s="1">
        <v>10.25</v>
      </c>
      <c r="I3" s="1">
        <v>13.75</v>
      </c>
      <c r="J3" s="1">
        <v>8</v>
      </c>
      <c r="K3" s="1">
        <v>9</v>
      </c>
    </row>
    <row r="4" spans="1:11" x14ac:dyDescent="0.3">
      <c r="B4" s="1">
        <v>12</v>
      </c>
      <c r="C4" s="1">
        <v>15</v>
      </c>
      <c r="D4" s="1">
        <v>17.25</v>
      </c>
      <c r="E4" s="1">
        <v>12</v>
      </c>
      <c r="F4" s="1">
        <v>16.75</v>
      </c>
      <c r="G4" s="1">
        <v>10.25</v>
      </c>
      <c r="H4" s="1">
        <v>12.25</v>
      </c>
      <c r="I4" s="1">
        <v>17.75</v>
      </c>
      <c r="J4" s="1">
        <v>9</v>
      </c>
      <c r="K4" s="1">
        <v>12</v>
      </c>
    </row>
    <row r="5" spans="1:11" x14ac:dyDescent="0.3">
      <c r="A5" t="s">
        <v>23</v>
      </c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3">
      <c r="A6" t="s">
        <v>24</v>
      </c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3">
      <c r="A7" t="s">
        <v>25</v>
      </c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3">
      <c r="A8" t="s">
        <v>26</v>
      </c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3">
      <c r="A9" t="s">
        <v>27</v>
      </c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3">
      <c r="A10" t="s">
        <v>28</v>
      </c>
      <c r="B10" s="1" t="s">
        <v>6</v>
      </c>
      <c r="C10" s="1" t="s">
        <v>6</v>
      </c>
      <c r="D10" s="1" t="s">
        <v>6</v>
      </c>
      <c r="E10" s="1"/>
      <c r="F10" s="1"/>
      <c r="G10" s="1"/>
      <c r="H10" s="1"/>
      <c r="I10" s="1"/>
      <c r="J10" s="1" t="s">
        <v>6</v>
      </c>
      <c r="K10" s="1" t="s">
        <v>6</v>
      </c>
    </row>
    <row r="11" spans="1:11" x14ac:dyDescent="0.3">
      <c r="A11" t="s">
        <v>29</v>
      </c>
      <c r="B11" s="1"/>
      <c r="C11" s="1"/>
      <c r="D11" s="1" t="s">
        <v>6</v>
      </c>
      <c r="E11" s="1"/>
      <c r="F11" s="1"/>
      <c r="G11" s="1"/>
      <c r="H11" s="1" t="s">
        <v>6</v>
      </c>
      <c r="I11" s="1"/>
      <c r="J11" s="1" t="s">
        <v>6</v>
      </c>
      <c r="K11" s="1" t="s">
        <v>6</v>
      </c>
    </row>
    <row r="12" spans="1:11" x14ac:dyDescent="0.3">
      <c r="A12" t="s">
        <v>30</v>
      </c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3">
      <c r="A13" t="s">
        <v>31</v>
      </c>
      <c r="B13" s="1"/>
      <c r="C13" s="1"/>
      <c r="D13" s="1"/>
      <c r="E13" s="1"/>
      <c r="F13" s="1"/>
      <c r="G13" s="1"/>
      <c r="H13" s="1"/>
      <c r="I13" s="1"/>
      <c r="J13" s="1" t="s">
        <v>6</v>
      </c>
      <c r="K13" s="1" t="s">
        <v>6</v>
      </c>
    </row>
    <row r="14" spans="1:11" x14ac:dyDescent="0.3">
      <c r="A14" t="s">
        <v>32</v>
      </c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3">
      <c r="A15" t="s">
        <v>33</v>
      </c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3">
      <c r="A16" t="s">
        <v>34</v>
      </c>
      <c r="B16" s="1"/>
      <c r="C16" s="1"/>
      <c r="D16" s="1"/>
      <c r="E16" s="1"/>
      <c r="F16" s="1"/>
      <c r="G16" s="1"/>
      <c r="H16" s="1"/>
      <c r="I16" s="1"/>
      <c r="J16" s="1" t="s">
        <v>7</v>
      </c>
      <c r="K16" s="1" t="s">
        <v>7</v>
      </c>
    </row>
    <row r="17" spans="1:11" x14ac:dyDescent="0.3">
      <c r="A17" t="s">
        <v>35</v>
      </c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3">
      <c r="A18" t="s">
        <v>36</v>
      </c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3">
      <c r="A19" t="s">
        <v>37</v>
      </c>
      <c r="B19" s="1" t="s">
        <v>9</v>
      </c>
      <c r="C19" s="1" t="s">
        <v>9</v>
      </c>
      <c r="D19" s="1" t="s">
        <v>9</v>
      </c>
      <c r="E19" s="1"/>
      <c r="F19" s="1" t="s">
        <v>9</v>
      </c>
      <c r="G19" s="1"/>
      <c r="H19" s="1"/>
      <c r="I19" s="1"/>
      <c r="J19" s="1"/>
      <c r="K19" s="1"/>
    </row>
    <row r="20" spans="1:11" x14ac:dyDescent="0.3">
      <c r="A20" t="s">
        <v>38</v>
      </c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3">
      <c r="A21" t="s">
        <v>39</v>
      </c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3">
      <c r="A22" t="s">
        <v>40</v>
      </c>
      <c r="B22" s="1"/>
      <c r="C22" s="1"/>
      <c r="D22" s="1"/>
      <c r="E22" s="1"/>
      <c r="F22" s="1" t="s">
        <v>6</v>
      </c>
      <c r="G22" s="1"/>
      <c r="H22" s="1"/>
      <c r="I22" s="1"/>
      <c r="J22" s="1" t="s">
        <v>6</v>
      </c>
      <c r="K22" s="1" t="s">
        <v>6</v>
      </c>
    </row>
    <row r="23" spans="1:11" x14ac:dyDescent="0.3">
      <c r="A23" t="s">
        <v>41</v>
      </c>
      <c r="B23" s="1"/>
      <c r="C23" s="1"/>
      <c r="D23" s="1"/>
      <c r="E23" s="1" t="s">
        <v>6</v>
      </c>
      <c r="F23" s="1"/>
      <c r="G23" s="1"/>
      <c r="H23" s="1"/>
      <c r="I23" s="1"/>
      <c r="J23" s="1" t="s">
        <v>6</v>
      </c>
      <c r="K23" s="1" t="s">
        <v>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5"/>
  <dimension ref="A1:M23"/>
  <sheetViews>
    <sheetView workbookViewId="0">
      <selection activeCell="F25" sqref="F25"/>
    </sheetView>
  </sheetViews>
  <sheetFormatPr baseColWidth="10" defaultRowHeight="14.4" x14ac:dyDescent="0.3"/>
  <cols>
    <col min="1" max="1" width="12.6640625" bestFit="1" customWidth="1"/>
    <col min="2" max="2" width="6" bestFit="1" customWidth="1"/>
    <col min="3" max="3" width="9.33203125" bestFit="1" customWidth="1"/>
    <col min="4" max="4" width="3.44140625" bestFit="1" customWidth="1"/>
    <col min="5" max="5" width="7.33203125" bestFit="1" customWidth="1"/>
    <col min="6" max="6" width="6" bestFit="1" customWidth="1"/>
    <col min="7" max="7" width="3.109375" bestFit="1" customWidth="1"/>
    <col min="8" max="8" width="9" bestFit="1" customWidth="1"/>
    <col min="9" max="9" width="6" bestFit="1" customWidth="1"/>
    <col min="10" max="10" width="8.6640625" bestFit="1" customWidth="1"/>
    <col min="11" max="11" width="9.33203125" bestFit="1" customWidth="1"/>
    <col min="12" max="12" width="6" bestFit="1" customWidth="1"/>
    <col min="13" max="13" width="4.6640625" bestFit="1" customWidth="1"/>
  </cols>
  <sheetData>
    <row r="1" spans="1:13" x14ac:dyDescent="0.3">
      <c r="A1">
        <v>20</v>
      </c>
      <c r="B1" t="s">
        <v>21</v>
      </c>
      <c r="E1" t="s">
        <v>22</v>
      </c>
      <c r="H1" t="s">
        <v>18</v>
      </c>
      <c r="K1" t="s">
        <v>20</v>
      </c>
    </row>
    <row r="2" spans="1:13" x14ac:dyDescent="0.3">
      <c r="B2" s="1" t="s">
        <v>13</v>
      </c>
      <c r="C2" s="1" t="s">
        <v>15</v>
      </c>
      <c r="D2" s="1" t="s">
        <v>10</v>
      </c>
      <c r="E2" s="1" t="s">
        <v>4</v>
      </c>
      <c r="F2" s="1" t="s">
        <v>13</v>
      </c>
      <c r="G2" s="1" t="s">
        <v>12</v>
      </c>
      <c r="H2" s="1" t="s">
        <v>13</v>
      </c>
      <c r="I2" s="1" t="s">
        <v>13</v>
      </c>
      <c r="J2" s="1" t="s">
        <v>8</v>
      </c>
      <c r="K2" s="1" t="s">
        <v>4</v>
      </c>
      <c r="L2" s="1" t="s">
        <v>13</v>
      </c>
      <c r="M2" s="1" t="s">
        <v>11</v>
      </c>
    </row>
    <row r="3" spans="1:13" x14ac:dyDescent="0.3">
      <c r="B3" s="1">
        <v>8.25</v>
      </c>
      <c r="C3" s="1">
        <v>10.5</v>
      </c>
      <c r="D3" s="1">
        <v>14</v>
      </c>
      <c r="E3" s="1">
        <v>8</v>
      </c>
      <c r="F3" s="1">
        <v>10.25</v>
      </c>
      <c r="G3" s="1">
        <v>14</v>
      </c>
      <c r="H3" s="1">
        <v>8.25</v>
      </c>
      <c r="I3" s="1">
        <v>10.25</v>
      </c>
      <c r="J3" s="1">
        <v>13.75</v>
      </c>
      <c r="K3" s="1">
        <v>8</v>
      </c>
      <c r="L3" s="1">
        <v>10.25</v>
      </c>
      <c r="M3" s="1">
        <v>14</v>
      </c>
    </row>
    <row r="4" spans="1:13" x14ac:dyDescent="0.3">
      <c r="B4" s="1">
        <v>10.25</v>
      </c>
      <c r="C4" s="1">
        <v>12.5</v>
      </c>
      <c r="D4" s="1">
        <v>17</v>
      </c>
      <c r="E4" s="1">
        <v>10</v>
      </c>
      <c r="F4" s="1">
        <v>12.25</v>
      </c>
      <c r="G4" s="1">
        <v>17</v>
      </c>
      <c r="H4" s="1">
        <v>10.25</v>
      </c>
      <c r="I4" s="1">
        <v>12.25</v>
      </c>
      <c r="J4" s="1">
        <v>15.75</v>
      </c>
      <c r="K4" s="1">
        <v>10</v>
      </c>
      <c r="L4" s="1">
        <v>12.25</v>
      </c>
      <c r="M4" s="1">
        <v>16</v>
      </c>
    </row>
    <row r="5" spans="1:13" x14ac:dyDescent="0.3">
      <c r="A5" t="s">
        <v>23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3">
      <c r="A6" t="s">
        <v>24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x14ac:dyDescent="0.3">
      <c r="A7" t="s">
        <v>25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3">
      <c r="A8" t="s">
        <v>26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3">
      <c r="A9" t="s">
        <v>27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3">
      <c r="A10" t="s">
        <v>28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3">
      <c r="A11" t="s">
        <v>29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3">
      <c r="A12" t="s">
        <v>30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3">
      <c r="A13" t="s">
        <v>31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3">
      <c r="A14" t="s">
        <v>32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3">
      <c r="A15" t="s">
        <v>33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3">
      <c r="A16" t="s">
        <v>34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3">
      <c r="A17" t="s">
        <v>35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3">
      <c r="A18" t="s">
        <v>36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3">
      <c r="A19" t="s">
        <v>37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3">
      <c r="A20" t="s">
        <v>38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3">
      <c r="A21" t="s">
        <v>39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3">
      <c r="A22" t="s">
        <v>40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3">
      <c r="A23" t="s">
        <v>41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24</vt:i4>
      </vt:variant>
      <vt:variant>
        <vt:lpstr>Rangos con nombre</vt:lpstr>
      </vt:variant>
      <vt:variant>
        <vt:i4>3</vt:i4>
      </vt:variant>
    </vt:vector>
  </HeadingPairs>
  <TitlesOfParts>
    <vt:vector size="27" baseType="lpstr">
      <vt:lpstr>etudiant</vt:lpstr>
      <vt:lpstr>inscrits</vt:lpstr>
      <vt:lpstr>modules</vt:lpstr>
      <vt:lpstr>notes</vt:lpstr>
      <vt:lpstr>s38</vt:lpstr>
      <vt:lpstr>s39</vt:lpstr>
      <vt:lpstr>s40</vt:lpstr>
      <vt:lpstr>s41</vt:lpstr>
      <vt:lpstr>s42</vt:lpstr>
      <vt:lpstr>s44</vt:lpstr>
      <vt:lpstr>s45</vt:lpstr>
      <vt:lpstr>s46</vt:lpstr>
      <vt:lpstr>s49</vt:lpstr>
      <vt:lpstr>s50</vt:lpstr>
      <vt:lpstr>s1</vt:lpstr>
      <vt:lpstr>s2</vt:lpstr>
      <vt:lpstr>s5</vt:lpstr>
      <vt:lpstr>s6</vt:lpstr>
      <vt:lpstr>s11</vt:lpstr>
      <vt:lpstr>s12</vt:lpstr>
      <vt:lpstr>s13</vt:lpstr>
      <vt:lpstr>s18</vt:lpstr>
      <vt:lpstr>s19</vt:lpstr>
      <vt:lpstr>s20</vt:lpstr>
      <vt:lpstr>Etudiants</vt:lpstr>
      <vt:lpstr>modules</vt:lpstr>
      <vt:lpstr>Semaines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tiburce panda</dc:creator>
  <cp:lastModifiedBy>Antony Fred Bacilio Salazar</cp:lastModifiedBy>
  <dcterms:created xsi:type="dcterms:W3CDTF">2014-08-25T07:50:04Z</dcterms:created>
  <dcterms:modified xsi:type="dcterms:W3CDTF">2017-12-21T18:08:28Z</dcterms:modified>
</cp:coreProperties>
</file>